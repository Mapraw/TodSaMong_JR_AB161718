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e-nas-02\ee\5. Advanced_Section\2. พิจารณาเทคนิค\RTS3-S-02\Phase5 ตรวจเอกสาร PD Rev1 จากบริษัท\b5 Loxley\r3\"/>
    </mc:Choice>
  </mc:AlternateContent>
  <xr:revisionPtr revIDLastSave="0" documentId="13_ncr:1_{4D776644-9749-47C0-B1DB-C5D80BCE6EB1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cleat" sheetId="1" r:id="rId1"/>
  </sheets>
  <definedNames>
    <definedName name="_xlnm.Print_Area" localSheetId="0">cleat!$A$1:$P$42</definedName>
    <definedName name="_xlnm.Print_Titles" localSheetId="0">cleat!$1:$8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" i="1" l="1"/>
  <c r="Z27" i="1" l="1"/>
  <c r="Y27" i="1"/>
  <c r="S28" i="1"/>
  <c r="W29" i="1" s="1"/>
</calcChain>
</file>

<file path=xl/sharedStrings.xml><?xml version="1.0" encoding="utf-8"?>
<sst xmlns="http://schemas.openxmlformats.org/spreadsheetml/2006/main" count="102" uniqueCount="92">
  <si>
    <t>CABLE CLEATS</t>
  </si>
  <si>
    <t>PROPOSAL DATA</t>
  </si>
  <si>
    <t xml:space="preserve">PROCUREMENT REFERENCE </t>
  </si>
  <si>
    <t>BIDDER</t>
  </si>
  <si>
    <t>SCHEDULE NO.</t>
  </si>
  <si>
    <t>ITEM NO.</t>
  </si>
  <si>
    <t>a.</t>
  </si>
  <si>
    <t>Manufacturer and Country of Origin</t>
  </si>
  <si>
    <t>- Manufacturer</t>
  </si>
  <si>
    <t>- Country of origin</t>
  </si>
  <si>
    <t>b.</t>
  </si>
  <si>
    <t>c.</t>
  </si>
  <si>
    <t>Applied Standard</t>
  </si>
  <si>
    <t>d.</t>
  </si>
  <si>
    <t>Material :</t>
  </si>
  <si>
    <t>and</t>
  </si>
  <si>
    <t>e.</t>
  </si>
  <si>
    <t>f.</t>
  </si>
  <si>
    <t>Formation</t>
  </si>
  <si>
    <t>Trefoil</t>
  </si>
  <si>
    <t>Flat</t>
  </si>
  <si>
    <t>g.</t>
  </si>
  <si>
    <t>- Overall Diameter Range</t>
  </si>
  <si>
    <t>Min</t>
  </si>
  <si>
    <t>mm.</t>
  </si>
  <si>
    <t>Max</t>
  </si>
  <si>
    <t xml:space="preserve">Note [1]: </t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</si>
  <si>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</si>
  <si>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</si>
  <si>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[2]: </t>
  </si>
  <si>
    <t>The values shall be based on the same cables and conditions of the test for resistance to electromechanical forces specified in IEC 61914.</t>
  </si>
  <si>
    <t xml:space="preserve">Note [3]: </t>
  </si>
  <si>
    <t>conforming with EGAT requirement (IEC 61914)</t>
  </si>
  <si>
    <t>mm</t>
  </si>
  <si>
    <t>kA</t>
  </si>
  <si>
    <t>- The peak short circuit current of the 2nd shortcircuit</t>
  </si>
  <si>
    <t>- Cable centre spacing (S)</t>
  </si>
  <si>
    <t>- Lineal spacing (D)</t>
  </si>
  <si>
    <t xml:space="preserve">Other </t>
  </si>
  <si>
    <t>*in case of other, please specify in the box below:</t>
  </si>
  <si>
    <t>Metallic</t>
  </si>
  <si>
    <t>Composite</t>
  </si>
  <si>
    <t xml:space="preserve">ปรับให้พิจารณาแค่ type โดยขนาดของ cleat </t>
  </si>
  <si>
    <t>จะพิจารณาในขั้นบริหารสัญญา</t>
  </si>
  <si>
    <t>แก้รูปแบบ</t>
  </si>
  <si>
    <t>ตัดออกเนื่องจากพิจารณาขนาด</t>
  </si>
  <si>
    <t>ในขั้นบริหารสัญญา</t>
  </si>
  <si>
    <t>เพิ่มเพื่อความชัดเจน</t>
  </si>
  <si>
    <t>comment</t>
  </si>
  <si>
    <t>The exact size of Cable Cleat shall be confirmed after the exact overall diameter of XLPE power cable is confirmed during project stage.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</si>
  <si>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</si>
  <si>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X</t>
  </si>
  <si>
    <t xml:space="preserve">Note [4]: </t>
  </si>
  <si>
    <t>The data specified in this item shall conform to the Type Test Report of the type proposed.</t>
  </si>
  <si>
    <t>waiting for discussion with P'Ja</t>
  </si>
  <si>
    <t>V</t>
  </si>
  <si>
    <t>Trefoil wtihstrand force</t>
  </si>
  <si>
    <t>Flat force withstrand force</t>
  </si>
  <si>
    <t>FLAT</t>
  </si>
  <si>
    <t>Force</t>
  </si>
  <si>
    <t>Lineal Spacing</t>
  </si>
  <si>
    <t>ขอย้ายไปด้านบนได้ไหม</t>
  </si>
  <si>
    <t>รายการตรวจ Cable cleat</t>
  </si>
  <si>
    <t>Material</t>
  </si>
  <si>
    <t>Metallic:</t>
  </si>
  <si>
    <t>Composite:</t>
  </si>
  <si>
    <t>ALUMINUM 5000 SERIES</t>
  </si>
  <si>
    <t>Force/1Cleat must be more than RF EGAT</t>
  </si>
  <si>
    <t>I short circuit</t>
  </si>
  <si>
    <t>EGAT</t>
  </si>
  <si>
    <t>FLAT Force</t>
  </si>
  <si>
    <t>TREFOIL Force</t>
  </si>
  <si>
    <t>SS316L Stainless steel</t>
  </si>
  <si>
    <t>Metalic part</t>
  </si>
  <si>
    <t>non-metallic part</t>
  </si>
  <si>
    <t>ANY</t>
  </si>
  <si>
    <t>Calculated result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</si>
  <si>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</si>
  <si>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r>
      <t>Type/Model</t>
    </r>
    <r>
      <rPr>
        <vertAlign val="superscript"/>
        <sz val="10"/>
        <rFont val="Times New Roman"/>
        <family val="1"/>
      </rPr>
      <t>[1]</t>
    </r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</si>
  <si>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</si>
  <si>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</si>
  <si>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PD 326.CC</t>
  </si>
  <si>
    <t>Dec.2024</t>
  </si>
  <si>
    <t>1AB16</t>
  </si>
  <si>
    <t>1AB16-2</t>
  </si>
  <si>
    <t>NORMA GROUP</t>
  </si>
  <si>
    <t>CHINA</t>
  </si>
  <si>
    <t>FF-T2935</t>
  </si>
  <si>
    <t>Stainless Steel</t>
  </si>
  <si>
    <t>Polyolefin</t>
  </si>
  <si>
    <t xml:space="preserve"> RTS3-S-02</t>
  </si>
  <si>
    <t>LOXLEY POWER SYSTEMS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</si>
</sst>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rgb="FF0000FF"/>
      <name val="Times New Roman"/>
      <family val="1"/>
    </font>
    <font>
      <u/>
      <sz val="10"/>
      <name val="Times New Roman"/>
      <family val="1"/>
    </font>
    <font>
      <sz val="10"/>
      <color rgb="FFFF00FF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quotePrefix="1" applyFont="1"/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/>
    <xf numFmtId="0" fontId="4" fillId="0" borderId="4" xfId="0" applyFont="1" applyBorder="1"/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shrinkToFit="1"/>
      <protection locked="0"/>
    </xf>
    <xf numFmtId="0" fontId="4" fillId="0" borderId="1" xfId="0" applyFont="1" applyBorder="1" applyAlignment="1" applyProtection="1">
      <alignment horizontal="center" vertical="center" shrinkToFit="1"/>
      <protection locked="0"/>
    </xf>
    <xf numFmtId="0" fontId="4" fillId="0" borderId="0" xfId="0" applyFont="1" applyAlignment="1">
      <alignment horizontal="left"/>
    </xf>
    <xf numFmtId="0" fontId="4" fillId="0" borderId="2" xfId="0" applyFont="1" applyBorder="1" applyAlignment="1" applyProtection="1">
      <alignment horizontal="center" shrinkToFit="1"/>
      <protection locked="0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3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0" fillId="0" borderId="4" xfId="0" applyBorder="1" applyAlignment="1" applyProtection="1">
      <alignment horizontal="center" shrinkToFit="1"/>
      <protection locked="0"/>
    </xf>
    <xf numFmtId="0" fontId="0" fillId="0" borderId="3" xfId="0" applyBorder="1" applyAlignment="1" applyProtection="1">
      <alignment horizontal="center" shrinkToFi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left" shrinkToFit="1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right"/>
    </xf>
    <xf numFmtId="0" fontId="4" fillId="0" borderId="5" xfId="0" applyFont="1" applyBorder="1" applyAlignment="1">
      <alignment horizontal="left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  <color rgb="FFFF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view="pageBreakPreview" topLeftCell="A4" zoomScaleNormal="100" zoomScaleSheetLayoutView="100" workbookViewId="0">
      <selection activeCell="K30" sqref="K30"/>
    </sheetView>
  </sheetViews>
  <sheetFormatPr defaultColWidth="8.85546875" defaultRowHeight="12.75" x14ac:dyDescent="0.2"/>
  <cols>
    <col min="1" max="1" width="2.28515625" style="1" customWidth="1"/>
    <col min="2" max="4" width="8.85546875" style="1"/>
    <col min="5" max="5" width="13.28515625" style="1" customWidth="1"/>
    <col min="6" max="6" width="3" style="1" customWidth="1"/>
    <col min="7" max="7" width="2.85546875" style="1" customWidth="1"/>
    <col min="8" max="8" width="1.140625" style="1" customWidth="1"/>
    <col min="9" max="9" width="11" style="1" customWidth="1"/>
    <col min="10" max="10" width="2.85546875" style="1" customWidth="1"/>
    <col min="11" max="11" width="7.7109375" style="1" customWidth="1"/>
    <col min="12" max="12" width="1.85546875" style="1" customWidth="1"/>
    <col min="13" max="13" width="2.42578125" style="1" customWidth="1"/>
    <col min="14" max="14" width="10.42578125" style="1" customWidth="1"/>
    <col min="15" max="15" width="4.140625" style="1" customWidth="1"/>
    <col min="16" max="16" width="8.85546875" style="1"/>
    <col min="17" max="17" width="13.85546875" style="1" hidden="1" customWidth="1"/>
    <col min="18" max="18" width="10.28515625" style="1" hidden="1" customWidth="1"/>
    <col min="19" max="21" width="9.28515625" style="1" hidden="1" customWidth="1"/>
    <col min="22" max="22" width="0" style="1" hidden="1" customWidth="1"/>
    <col min="23" max="23" width="23.28515625" style="1" hidden="1" customWidth="1"/>
    <col min="24" max="24" width="13.42578125" style="1" hidden="1" customWidth="1"/>
    <col min="25" max="25" width="10.7109375" style="1" hidden="1" customWidth="1"/>
    <col min="26" max="26" width="13.85546875" style="1" hidden="1" customWidth="1"/>
    <col min="27" max="16384" width="8.85546875" style="1"/>
  </cols>
  <sheetData>
    <row r="1" spans="1:24" ht="14.65" customHeight="1" x14ac:dyDescent="0.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24" ht="14.6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1" t="s">
        <v>81</v>
      </c>
      <c r="O2" s="51"/>
    </row>
    <row r="3" spans="1:24" x14ac:dyDescent="0.2">
      <c r="N3" s="51" t="s">
        <v>82</v>
      </c>
      <c r="O3" s="51"/>
      <c r="T3" s="15"/>
      <c r="U3" s="15" t="s">
        <v>62</v>
      </c>
      <c r="V3" s="15"/>
      <c r="W3" s="15"/>
      <c r="X3" s="15"/>
    </row>
    <row r="4" spans="1:24" ht="15" customHeight="1" thickBot="1" x14ac:dyDescent="0.25">
      <c r="A4" s="3" t="s">
        <v>1</v>
      </c>
      <c r="F4" s="3"/>
      <c r="G4" s="3"/>
      <c r="Q4" s="10" t="s">
        <v>48</v>
      </c>
      <c r="T4" s="15">
        <v>1</v>
      </c>
      <c r="U4" s="15" t="s">
        <v>63</v>
      </c>
      <c r="V4" s="15"/>
      <c r="W4" s="15"/>
      <c r="X4" s="15"/>
    </row>
    <row r="5" spans="1:24" ht="15" customHeight="1" thickBot="1" x14ac:dyDescent="0.25">
      <c r="A5" s="3" t="s">
        <v>2</v>
      </c>
      <c r="E5" s="27" t="s">
        <v>90</v>
      </c>
      <c r="F5" s="3"/>
      <c r="G5" s="3" t="s">
        <v>4</v>
      </c>
      <c r="K5" s="24" t="s">
        <v>83</v>
      </c>
      <c r="L5" s="25"/>
      <c r="M5" s="25"/>
      <c r="N5" s="25"/>
      <c r="O5" s="26"/>
      <c r="Q5" s="10" t="s">
        <v>54</v>
      </c>
      <c r="T5" s="15"/>
      <c r="U5" s="15">
        <v>1.1000000000000001</v>
      </c>
      <c r="V5" s="15" t="s">
        <v>64</v>
      </c>
      <c r="W5" s="15" t="s">
        <v>66</v>
      </c>
      <c r="X5" s="15"/>
    </row>
    <row r="6" spans="1:24" ht="15" customHeight="1" thickBot="1" x14ac:dyDescent="0.25">
      <c r="A6" s="3" t="s">
        <v>3</v>
      </c>
      <c r="C6" s="36" t="s">
        <v>91</v>
      </c>
      <c r="D6" s="38"/>
      <c r="F6" s="3"/>
      <c r="G6" s="3" t="s">
        <v>5</v>
      </c>
      <c r="J6" s="36" t="s">
        <v>84</v>
      </c>
      <c r="K6" s="37"/>
      <c r="L6" s="37"/>
      <c r="M6" s="37"/>
      <c r="N6" s="37"/>
      <c r="O6" s="38"/>
      <c r="T6" s="15"/>
      <c r="U6" s="15"/>
      <c r="V6" s="15"/>
      <c r="W6" s="15" t="s">
        <v>72</v>
      </c>
      <c r="X6" s="15"/>
    </row>
    <row r="7" spans="1:24" ht="14.65" customHeight="1" x14ac:dyDescent="0.2">
      <c r="F7" s="3"/>
      <c r="T7" s="15"/>
      <c r="U7" s="15">
        <v>1.2</v>
      </c>
      <c r="V7" s="15" t="s">
        <v>65</v>
      </c>
      <c r="W7" s="15"/>
      <c r="X7" s="15"/>
    </row>
    <row r="8" spans="1:24" x14ac:dyDescent="0.2">
      <c r="T8" s="15"/>
      <c r="U8" s="15"/>
      <c r="V8" s="15"/>
      <c r="W8" s="15" t="s">
        <v>73</v>
      </c>
      <c r="X8" s="15" t="s">
        <v>66</v>
      </c>
    </row>
    <row r="9" spans="1:24" x14ac:dyDescent="0.2">
      <c r="T9" s="15"/>
      <c r="U9" s="15"/>
      <c r="V9" s="15"/>
      <c r="W9" s="15"/>
      <c r="X9" s="15" t="s">
        <v>72</v>
      </c>
    </row>
    <row r="10" spans="1:24" ht="13.5" thickBot="1" x14ac:dyDescent="0.25">
      <c r="A10" s="1" t="s">
        <v>6</v>
      </c>
      <c r="B10" s="1" t="s">
        <v>7</v>
      </c>
      <c r="T10" s="15"/>
      <c r="U10" s="15"/>
      <c r="V10" s="15"/>
      <c r="W10" s="15" t="s">
        <v>74</v>
      </c>
      <c r="X10" s="15" t="s">
        <v>75</v>
      </c>
    </row>
    <row r="11" spans="1:24" ht="15" customHeight="1" thickBot="1" x14ac:dyDescent="0.25">
      <c r="B11" s="4"/>
      <c r="C11" s="4" t="s">
        <v>8</v>
      </c>
      <c r="G11" s="36" t="s">
        <v>85</v>
      </c>
      <c r="H11" s="37"/>
      <c r="I11" s="37"/>
      <c r="J11" s="37"/>
      <c r="K11" s="37"/>
      <c r="L11" s="37"/>
      <c r="M11" s="37"/>
      <c r="N11" s="37"/>
      <c r="O11" s="38"/>
      <c r="T11" s="15"/>
      <c r="U11" s="15"/>
      <c r="V11" s="15"/>
      <c r="W11" s="15"/>
      <c r="X11" s="15"/>
    </row>
    <row r="12" spans="1:24" ht="13.5" thickBot="1" x14ac:dyDescent="0.25">
      <c r="B12" s="4"/>
      <c r="C12" s="4" t="s">
        <v>9</v>
      </c>
      <c r="G12" s="36" t="s">
        <v>86</v>
      </c>
      <c r="H12" s="37"/>
      <c r="I12" s="37"/>
      <c r="J12" s="37"/>
      <c r="K12" s="37"/>
      <c r="L12" s="37"/>
      <c r="M12" s="37"/>
      <c r="N12" s="37"/>
      <c r="O12" s="38"/>
      <c r="T12" s="15">
        <v>2</v>
      </c>
      <c r="U12" s="15" t="s">
        <v>67</v>
      </c>
      <c r="V12" s="15"/>
      <c r="W12" s="15"/>
      <c r="X12" s="15"/>
    </row>
    <row r="13" spans="1:24" ht="13.5" thickBot="1" x14ac:dyDescent="0.25">
      <c r="B13" s="4"/>
      <c r="Q13" s="10" t="s">
        <v>42</v>
      </c>
      <c r="T13" s="15"/>
      <c r="U13" s="15">
        <v>2.1</v>
      </c>
      <c r="V13" s="15" t="s">
        <v>58</v>
      </c>
      <c r="W13" s="15"/>
      <c r="X13" s="15"/>
    </row>
    <row r="14" spans="1:24" ht="16.5" thickBot="1" x14ac:dyDescent="0.25">
      <c r="A14" s="1" t="s">
        <v>10</v>
      </c>
      <c r="B14" s="9" t="s">
        <v>78</v>
      </c>
      <c r="C14" s="9"/>
      <c r="D14" s="9"/>
      <c r="G14" s="36" t="s">
        <v>87</v>
      </c>
      <c r="H14" s="37"/>
      <c r="I14" s="37"/>
      <c r="J14" s="37"/>
      <c r="K14" s="37"/>
      <c r="L14" s="37"/>
      <c r="M14" s="37"/>
      <c r="N14" s="37"/>
      <c r="O14" s="38"/>
      <c r="Q14" s="10" t="s">
        <v>43</v>
      </c>
      <c r="T14" s="15"/>
      <c r="U14" s="15"/>
      <c r="V14" s="15"/>
      <c r="W14" s="15" t="s">
        <v>76</v>
      </c>
      <c r="X14" s="15" t="e">
        <f>VLOOKUP(#REF!,$V$27:$Z$27,4,FALSE)</f>
        <v>#REF!</v>
      </c>
    </row>
    <row r="15" spans="1:24" ht="16.5" thickBot="1" x14ac:dyDescent="0.25">
      <c r="A15" s="9" t="s">
        <v>11</v>
      </c>
      <c r="B15" s="9" t="s">
        <v>79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Q15" s="10" t="s">
        <v>45</v>
      </c>
    </row>
    <row r="16" spans="1:24" ht="13.5" thickBot="1" x14ac:dyDescent="0.25">
      <c r="A16" s="9"/>
      <c r="B16" s="17" t="s">
        <v>22</v>
      </c>
      <c r="D16" s="9"/>
      <c r="E16" s="9"/>
      <c r="F16" s="9"/>
      <c r="G16" s="16" t="s">
        <v>23</v>
      </c>
      <c r="H16" s="9"/>
      <c r="I16" s="28">
        <v>29</v>
      </c>
      <c r="J16" s="9" t="s">
        <v>24</v>
      </c>
      <c r="K16" s="9"/>
      <c r="L16" s="13" t="s">
        <v>25</v>
      </c>
      <c r="M16" s="13"/>
      <c r="N16" s="28">
        <v>35</v>
      </c>
      <c r="O16" s="9" t="s">
        <v>24</v>
      </c>
      <c r="Q16" s="10" t="s">
        <v>46</v>
      </c>
    </row>
    <row r="17" spans="1:26" ht="9" customHeight="1" thickBot="1" x14ac:dyDescent="0.25">
      <c r="A17" s="9"/>
      <c r="B17" s="9"/>
      <c r="C17" s="17"/>
      <c r="D17" s="9"/>
      <c r="E17" s="9"/>
      <c r="F17" s="9"/>
      <c r="G17" s="16"/>
      <c r="H17" s="9"/>
      <c r="I17" s="18"/>
      <c r="J17" s="9"/>
      <c r="K17" s="9"/>
      <c r="L17" s="13"/>
      <c r="M17" s="13"/>
      <c r="N17" s="18"/>
      <c r="O17" s="9"/>
      <c r="Q17" s="10"/>
    </row>
    <row r="18" spans="1:26" ht="15" customHeight="1" thickBot="1" x14ac:dyDescent="0.3">
      <c r="A18" s="9" t="s">
        <v>13</v>
      </c>
      <c r="B18" s="1" t="s">
        <v>12</v>
      </c>
      <c r="F18" s="7"/>
      <c r="G18" s="46" t="s">
        <v>32</v>
      </c>
      <c r="H18" s="47"/>
      <c r="I18" s="47"/>
      <c r="J18" s="47"/>
      <c r="K18" s="47"/>
      <c r="L18" s="47"/>
      <c r="M18" s="47"/>
      <c r="N18" s="48"/>
      <c r="O18"/>
    </row>
    <row r="19" spans="1:26" ht="15" customHeight="1" thickBot="1" x14ac:dyDescent="0.3">
      <c r="G19" s="1" t="s">
        <v>39</v>
      </c>
      <c r="H19"/>
      <c r="I19" s="5"/>
      <c r="J19" s="5"/>
      <c r="K19" s="5"/>
      <c r="L19" s="5"/>
      <c r="M19" s="5"/>
      <c r="N19" s="5"/>
      <c r="O19" s="5"/>
    </row>
    <row r="20" spans="1:26" ht="54.6" customHeight="1" thickBot="1" x14ac:dyDescent="0.3">
      <c r="G20" s="39"/>
      <c r="H20" s="40"/>
      <c r="I20" s="40"/>
      <c r="J20" s="40"/>
      <c r="K20" s="40"/>
      <c r="L20" s="40"/>
      <c r="M20" s="40"/>
      <c r="N20" s="40"/>
      <c r="O20" s="41"/>
    </row>
    <row r="21" spans="1:26" ht="13.5" thickBot="1" x14ac:dyDescent="0.25"/>
    <row r="22" spans="1:26" ht="14.65" customHeight="1" thickBot="1" x14ac:dyDescent="0.25">
      <c r="A22" s="1" t="s">
        <v>16</v>
      </c>
      <c r="B22" s="9" t="s">
        <v>50</v>
      </c>
      <c r="C22" s="9"/>
      <c r="D22" s="9"/>
      <c r="E22" s="9"/>
      <c r="F22" s="9"/>
      <c r="G22" s="29"/>
      <c r="H22" s="12"/>
      <c r="I22" s="49" t="s">
        <v>40</v>
      </c>
      <c r="J22" s="50"/>
      <c r="K22" s="50"/>
      <c r="L22" s="50"/>
      <c r="M22" s="50"/>
      <c r="N22" s="50"/>
      <c r="O22" s="9"/>
      <c r="Q22" s="10" t="s">
        <v>44</v>
      </c>
    </row>
    <row r="23" spans="1:26" ht="15" customHeight="1" thickBot="1" x14ac:dyDescent="0.25">
      <c r="A23" s="9"/>
      <c r="B23" s="13"/>
      <c r="C23" s="30"/>
      <c r="D23" s="30"/>
      <c r="E23" s="30"/>
      <c r="F23" s="30"/>
      <c r="G23" s="9"/>
      <c r="H23" s="13"/>
      <c r="I23" s="13" t="s">
        <v>14</v>
      </c>
      <c r="J23" s="31"/>
      <c r="K23" s="32"/>
      <c r="L23" s="32"/>
      <c r="M23" s="32"/>
      <c r="N23" s="32"/>
      <c r="O23" s="33"/>
    </row>
    <row r="24" spans="1:26" ht="14.65" customHeight="1" thickBot="1" x14ac:dyDescent="0.25">
      <c r="A24" s="9"/>
      <c r="B24" s="9"/>
      <c r="C24" s="30"/>
      <c r="D24" s="30"/>
      <c r="E24" s="30"/>
      <c r="F24" s="52"/>
      <c r="G24" s="29" t="s">
        <v>51</v>
      </c>
      <c r="H24" s="14"/>
      <c r="I24" s="53" t="s">
        <v>41</v>
      </c>
      <c r="J24" s="34"/>
      <c r="K24" s="34"/>
      <c r="L24" s="34"/>
      <c r="M24" s="34"/>
      <c r="N24" s="34"/>
      <c r="O24" s="9"/>
      <c r="U24" s="15"/>
      <c r="V24" s="15"/>
      <c r="W24" s="15"/>
      <c r="X24" s="15"/>
      <c r="Y24" s="15"/>
      <c r="Z24" s="15"/>
    </row>
    <row r="25" spans="1:26" ht="13.5" thickBot="1" x14ac:dyDescent="0.25">
      <c r="A25" s="9"/>
      <c r="B25" s="9"/>
      <c r="C25" s="30"/>
      <c r="D25" s="30"/>
      <c r="E25" s="30"/>
      <c r="F25" s="30"/>
      <c r="G25" s="9"/>
      <c r="H25" s="9"/>
      <c r="I25" s="13" t="s">
        <v>14</v>
      </c>
      <c r="J25" s="31" t="s">
        <v>88</v>
      </c>
      <c r="K25" s="32"/>
      <c r="L25" s="32"/>
      <c r="M25" s="32"/>
      <c r="N25" s="32"/>
      <c r="O25" s="33"/>
      <c r="U25" s="15"/>
      <c r="V25" s="44" t="s">
        <v>69</v>
      </c>
      <c r="W25" s="44"/>
      <c r="X25" s="44"/>
      <c r="Y25" s="44"/>
      <c r="Z25" s="15"/>
    </row>
    <row r="26" spans="1:26" ht="13.5" thickBot="1" x14ac:dyDescent="0.25">
      <c r="A26" s="9"/>
      <c r="B26" s="9"/>
      <c r="C26" s="30"/>
      <c r="D26" s="30"/>
      <c r="E26" s="30"/>
      <c r="F26" s="30"/>
      <c r="G26" s="9"/>
      <c r="H26" s="9"/>
      <c r="I26" s="13" t="s">
        <v>15</v>
      </c>
      <c r="J26" s="31" t="s">
        <v>89</v>
      </c>
      <c r="K26" s="32"/>
      <c r="L26" s="32"/>
      <c r="M26" s="32"/>
      <c r="N26" s="32"/>
      <c r="O26" s="33"/>
      <c r="U26" s="15"/>
      <c r="V26" s="15" t="s">
        <v>55</v>
      </c>
      <c r="W26" s="15" t="s">
        <v>68</v>
      </c>
      <c r="X26" s="15" t="s">
        <v>60</v>
      </c>
      <c r="Y26" s="1" t="s">
        <v>70</v>
      </c>
      <c r="Z26" s="1" t="s">
        <v>71</v>
      </c>
    </row>
    <row r="27" spans="1:26" ht="32.65" customHeight="1" thickBot="1" x14ac:dyDescent="0.25">
      <c r="A27" s="19" t="s">
        <v>17</v>
      </c>
      <c r="B27" s="42" t="s">
        <v>77</v>
      </c>
      <c r="C27" s="43"/>
      <c r="D27" s="43"/>
      <c r="E27" s="43"/>
      <c r="G27" s="8"/>
      <c r="H27" s="8"/>
      <c r="I27" s="8"/>
      <c r="Q27" s="15"/>
      <c r="R27" s="15"/>
      <c r="S27" s="15"/>
      <c r="T27" s="15"/>
      <c r="U27" s="15"/>
      <c r="V27" s="15">
        <v>230</v>
      </c>
      <c r="W27" s="15">
        <v>170</v>
      </c>
      <c r="X27" s="15"/>
      <c r="Y27" s="1" t="e">
        <f>0.16*$W27*$W27/#REF!*#REF!</f>
        <v>#REF!</v>
      </c>
      <c r="Z27" s="1" t="e">
        <f>0.17*$W27*$W27/#REF!*#REF!</f>
        <v>#REF!</v>
      </c>
    </row>
    <row r="28" spans="1:26" ht="13.5" thickBot="1" x14ac:dyDescent="0.25">
      <c r="B28" s="4" t="s">
        <v>36</v>
      </c>
      <c r="G28" s="36">
        <v>35</v>
      </c>
      <c r="H28" s="37"/>
      <c r="I28" s="38"/>
      <c r="J28" s="1" t="s">
        <v>33</v>
      </c>
      <c r="Q28" s="15">
        <v>0.16</v>
      </c>
      <c r="R28" s="15">
        <v>0.17</v>
      </c>
      <c r="S28" s="15" t="e">
        <f>IF(#REF!="FLAT",Q28,IF(#REF!="TREFOIL",R28,"-"))</f>
        <v>#REF!</v>
      </c>
      <c r="T28" s="15"/>
      <c r="U28" s="15"/>
      <c r="V28" s="15"/>
      <c r="W28" s="15" t="s">
        <v>59</v>
      </c>
      <c r="X28" s="15"/>
      <c r="Y28" s="15"/>
      <c r="Z28" s="15"/>
    </row>
    <row r="29" spans="1:26" ht="13.5" thickBot="1" x14ac:dyDescent="0.25">
      <c r="B29" s="4" t="s">
        <v>35</v>
      </c>
      <c r="G29" s="36">
        <v>125</v>
      </c>
      <c r="H29" s="37"/>
      <c r="I29" s="38"/>
      <c r="J29" s="1" t="s">
        <v>34</v>
      </c>
      <c r="Q29" s="15" t="s">
        <v>56</v>
      </c>
      <c r="R29" s="15"/>
      <c r="S29" s="15"/>
      <c r="T29" s="15"/>
      <c r="U29" s="15"/>
      <c r="V29" s="15"/>
      <c r="W29" s="15" t="e">
        <f>$S$28*((VLOOKUP(#REF!,$V$27:$W$27,2,FALSE)^2)/#REF!)*G30</f>
        <v>#REF!</v>
      </c>
      <c r="X29" s="15"/>
      <c r="Y29" s="15"/>
      <c r="Z29" s="15"/>
    </row>
    <row r="30" spans="1:26" ht="13.5" thickBot="1" x14ac:dyDescent="0.25">
      <c r="B30" s="4" t="s">
        <v>37</v>
      </c>
      <c r="G30" s="36">
        <v>600</v>
      </c>
      <c r="H30" s="37"/>
      <c r="I30" s="38"/>
      <c r="J30" s="1" t="s">
        <v>33</v>
      </c>
      <c r="Q30" s="15" t="s">
        <v>57</v>
      </c>
      <c r="R30" s="15"/>
      <c r="S30" s="15"/>
      <c r="T30" s="15"/>
    </row>
    <row r="31" spans="1:26" ht="13.5" thickBot="1" x14ac:dyDescent="0.25"/>
    <row r="32" spans="1:26" ht="15.75" thickBot="1" x14ac:dyDescent="0.3">
      <c r="A32" s="1" t="s">
        <v>21</v>
      </c>
      <c r="B32" s="1" t="s">
        <v>18</v>
      </c>
      <c r="G32" s="39" t="s">
        <v>19</v>
      </c>
      <c r="H32" s="40"/>
      <c r="I32" s="40"/>
      <c r="J32" s="40"/>
      <c r="K32" s="40"/>
      <c r="L32" s="40"/>
      <c r="M32" s="40"/>
      <c r="N32" s="41"/>
      <c r="Q32" s="15" t="s">
        <v>61</v>
      </c>
    </row>
    <row r="34" spans="1:17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6" spans="1:17" ht="31.15" customHeight="1" x14ac:dyDescent="0.2">
      <c r="B36" s="20" t="s">
        <v>26</v>
      </c>
      <c r="C36" s="34" t="s">
        <v>49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Q36" s="11" t="s">
        <v>47</v>
      </c>
    </row>
    <row r="37" spans="1:17" ht="43.9" customHeight="1" x14ac:dyDescent="0.2">
      <c r="B37" s="20" t="s">
        <v>29</v>
      </c>
      <c r="C37" s="34" t="s">
        <v>80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1:17" x14ac:dyDescent="0.2">
      <c r="B38" s="21"/>
      <c r="C38" s="30" t="s">
        <v>27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spans="1:17" ht="48" customHeight="1" x14ac:dyDescent="0.2">
      <c r="B39" s="9"/>
      <c r="C39" s="34" t="s">
        <v>28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17" ht="19.149999999999999" customHeight="1" x14ac:dyDescent="0.2">
      <c r="B40" s="20" t="s">
        <v>31</v>
      </c>
      <c r="C40" s="22" t="s">
        <v>53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7" ht="27.6" customHeight="1" x14ac:dyDescent="0.2">
      <c r="B41" s="20" t="s">
        <v>52</v>
      </c>
      <c r="C41" s="34" t="s">
        <v>30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53" spans="2:6" hidden="1" x14ac:dyDescent="0.2">
      <c r="B53" s="1" t="s">
        <v>32</v>
      </c>
      <c r="F53" s="1" t="s">
        <v>19</v>
      </c>
    </row>
    <row r="54" spans="2:6" hidden="1" x14ac:dyDescent="0.2">
      <c r="B54" s="1" t="s">
        <v>38</v>
      </c>
      <c r="F54" s="1" t="s">
        <v>20</v>
      </c>
    </row>
    <row r="55" spans="2:6" hidden="1" x14ac:dyDescent="0.2"/>
    <row r="56" spans="2:6" hidden="1" x14ac:dyDescent="0.2">
      <c r="B56" s="1" t="s">
        <v>40</v>
      </c>
    </row>
    <row r="57" spans="2:6" hidden="1" x14ac:dyDescent="0.2">
      <c r="B57" s="1" t="s">
        <v>41</v>
      </c>
      <c r="F57" s="1" t="s">
        <v>51</v>
      </c>
    </row>
  </sheetData>
  <sheetProtection sheet="1" objects="1" scenarios="1" formatColumns="0" formatRows="0"/>
  <mergeCells count="30">
    <mergeCell ref="V25:Y25"/>
    <mergeCell ref="A1:O1"/>
    <mergeCell ref="C6:D6"/>
    <mergeCell ref="J6:O6"/>
    <mergeCell ref="G11:O11"/>
    <mergeCell ref="G14:O14"/>
    <mergeCell ref="G12:O12"/>
    <mergeCell ref="G18:N18"/>
    <mergeCell ref="G20:O20"/>
    <mergeCell ref="I22:N22"/>
    <mergeCell ref="N2:O2"/>
    <mergeCell ref="N3:O3"/>
    <mergeCell ref="C23:F23"/>
    <mergeCell ref="J23:O23"/>
    <mergeCell ref="C24:F24"/>
    <mergeCell ref="I24:N24"/>
    <mergeCell ref="C25:F25"/>
    <mergeCell ref="J25:O25"/>
    <mergeCell ref="C41:N41"/>
    <mergeCell ref="C26:F26"/>
    <mergeCell ref="J26:O26"/>
    <mergeCell ref="C37:N37"/>
    <mergeCell ref="C36:N36"/>
    <mergeCell ref="G28:I28"/>
    <mergeCell ref="G29:I29"/>
    <mergeCell ref="G30:I30"/>
    <mergeCell ref="G32:N32"/>
    <mergeCell ref="B27:E27"/>
    <mergeCell ref="C38:N38"/>
    <mergeCell ref="C39:N39"/>
  </mergeCells>
  <conditionalFormatting sqref="A18:N18 P18:R18">
    <cfRule type="expression" dxfId="1" priority="3">
      <formula>CELL("protect", INDIRECT(ADDRESS(ROW(), COLUMN())))=0</formula>
    </cfRule>
  </conditionalFormatting>
  <conditionalFormatting sqref="A1:R1 A2:N3 P2:R3 A4:R12 A8:P15 Q13:R17 A15:R15 A16:B16 D16:R16 A17:R17 A19:R19 A20:G20 P20:R20 A21:R21 B22:R22 A23:R26 A27:B27 F27:P27 R27:S27 A28:O28 R28:R29 A29:P29 Q29:Q30 A30:R31 B32:G32 O32:R32 A33:R36 A37:B37 O37:R37 A38:R1048576">
    <cfRule type="expression" dxfId="0" priority="4">
      <formula>CELL("protect", INDIRECT(ADDRESS(ROW(), COLUMN())))=0</formula>
    </cfRule>
  </conditionalFormatting>
  <dataValidations count="3">
    <dataValidation type="list" allowBlank="1" showInputMessage="1" showErrorMessage="1" sqref="G18" xr:uid="{00000000-0002-0000-0000-000000000000}">
      <formula1>$B$53:$B$54</formula1>
    </dataValidation>
    <dataValidation type="list" allowBlank="1" showInputMessage="1" showErrorMessage="1" sqref="G32:N32" xr:uid="{00000000-0002-0000-0000-000001000000}">
      <formula1>$F$53:$F$54</formula1>
    </dataValidation>
    <dataValidation type="list" allowBlank="1" showInputMessage="1" showErrorMessage="1" sqref="G22 G24" xr:uid="{00000000-0002-0000-0000-000002000000}">
      <formula1>$F$57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cleat</vt:lpstr>
      <vt:lpstr>cleat!Print_Area</vt:lpstr>
      <vt:lpstr>cleat!Print_Titles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Jarupoj Tanomrak</cp:lastModifiedBy>
  <cp:lastPrinted>2026-02-03T03:29:05Z</cp:lastPrinted>
  <dcterms:created xsi:type="dcterms:W3CDTF">2024-09-19T03:05:53Z</dcterms:created>
  <dcterms:modified xsi:type="dcterms:W3CDTF">2026-02-16T10:48:49Z</dcterms:modified>
</cp:coreProperties>
</file>