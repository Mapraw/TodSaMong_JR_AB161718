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GAT bidding\2025\RTS3-S-02 115 kV GIS Chaiyaphum\Bid proposal\Clarification document\Final Claification document\"/>
    </mc:Choice>
  </mc:AlternateContent>
  <xr:revisionPtr revIDLastSave="0" documentId="13_ncr:1_{1FFE4241-6410-4B6A-A29B-F610AE49E7D2}" xr6:coauthVersionLast="47" xr6:coauthVersionMax="47" xr10:uidLastSave="{00000000-0000-0000-0000-000000000000}"/>
  <bookViews>
    <workbookView xWindow="-110" yWindow="-110" windowWidth="19420" windowHeight="10300" tabRatio="778" xr2:uid="{12D17491-6B13-448B-A316-DD1DA4E9D26A}"/>
  </bookViews>
  <sheets>
    <sheet name="outdr ter 33blow-TE" sheetId="1" r:id="rId1"/>
    <sheet name="outdr ter 33blow-3M" sheetId="2" r:id="rId2"/>
    <sheet name="cleat-Norma" sheetId="3" r:id="rId3"/>
    <sheet name="XLPE-PHD" sheetId="4" r:id="rId4"/>
    <sheet name="XLPE-BCC" sheetId="5" r:id="rId5"/>
    <sheet name="LV_Turnkey-PHD" sheetId="6" r:id="rId6"/>
    <sheet name="LV_Turnkey-BCC" sheetId="7" r:id="rId7"/>
    <sheet name="OHGW" sheetId="8" r:id="rId8"/>
  </sheets>
  <definedNames>
    <definedName name="_xlnm.Print_Area" localSheetId="2">'cleat-Norma'!$A$1:$O$42</definedName>
    <definedName name="_xlnm.Print_Area" localSheetId="6">'LV_Turnkey-BCC'!$A$1:$V$49</definedName>
    <definedName name="_xlnm.Print_Area" localSheetId="5">'LV_Turnkey-PHD'!$A$1:$V$49</definedName>
    <definedName name="_xlnm.Print_Area" localSheetId="7">OHGW!$A$1:$V$49</definedName>
    <definedName name="_xlnm.Print_Area" localSheetId="0">'outdr ter 33blow-TE'!$A$1:$O$42</definedName>
    <definedName name="_xlnm.Print_Area" localSheetId="4">'XLPE-BCC'!$A$1:$N$53</definedName>
    <definedName name="_xlnm.Print_Area" localSheetId="3">'XLPE-PHD'!$A$1:$N$53</definedName>
    <definedName name="_xlnm.Print_Titles" localSheetId="2">'cleat-Norma'!$1:$8</definedName>
    <definedName name="_xlnm.Print_Titles" localSheetId="1">'outdr ter 33blow-3M'!$1:$8</definedName>
    <definedName name="_xlnm.Print_Titles" localSheetId="0">'outdr ter 33blow-TE'!$1:$8</definedName>
    <definedName name="_xlnm.Print_Titles" localSheetId="4">'XLPE-BCC'!$1:$8</definedName>
    <definedName name="_xlnm.Print_Titles" localSheetId="3">'XLPE-PHD'!$1:$8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8" i="3" l="1"/>
  <c r="W29" i="3" s="1"/>
  <c r="Z27" i="3"/>
  <c r="Y27" i="3"/>
  <c r="X14" i="3"/>
</calcChain>
</file>

<file path=xl/sharedStrings.xml><?xml version="1.0" encoding="utf-8"?>
<sst xmlns="http://schemas.openxmlformats.org/spreadsheetml/2006/main" count="726" uniqueCount="232">
  <si>
    <t>33 kV and below CABLE TERMINATIONS
(for outdoor termination)</t>
  </si>
  <si>
    <t>FORM PD 326.MV</t>
  </si>
  <si>
    <t>Nov. 2024</t>
  </si>
  <si>
    <t>PROPOSAL DATA</t>
  </si>
  <si>
    <t xml:space="preserve">PROCUREMENT REFERENCE </t>
  </si>
  <si>
    <t>RTS3-S-02</t>
  </si>
  <si>
    <t>SCHEDULE NO.</t>
  </si>
  <si>
    <t>1AB16</t>
  </si>
  <si>
    <t>BIDDER</t>
  </si>
  <si>
    <t>JOINT VENTURE of BENYAPHA / Thailand - Thailand</t>
  </si>
  <si>
    <t>ITEM NO.</t>
  </si>
  <si>
    <t>1AB16-1</t>
  </si>
  <si>
    <t>a.</t>
  </si>
  <si>
    <t>Manufacturer and Country of Origin</t>
  </si>
  <si>
    <t>- Cable Terminations</t>
  </si>
  <si>
    <t>- Manufacturer</t>
  </si>
  <si>
    <t>TE Connectivity, Ltd.</t>
  </si>
  <si>
    <t>- Country of origin</t>
  </si>
  <si>
    <t>USA</t>
  </si>
  <si>
    <t>b.</t>
  </si>
  <si>
    <t>Type / Model / Cat. NO.</t>
  </si>
  <si>
    <t>TFT252E/SG</t>
  </si>
  <si>
    <t>c.</t>
  </si>
  <si>
    <t>Applied Standard</t>
  </si>
  <si>
    <t>conforming with EGAT requirement (IEEE 48)</t>
  </si>
  <si>
    <t>*in case of other, please specify in the box below :</t>
  </si>
  <si>
    <t>d.</t>
  </si>
  <si>
    <t>Material of Insulator</t>
  </si>
  <si>
    <t>Elastomeric Polymer (Silicone rubber)</t>
  </si>
  <si>
    <t>e.</t>
  </si>
  <si>
    <t>Rated Voltage</t>
  </si>
  <si>
    <t>Insulation Class 25 kV</t>
  </si>
  <si>
    <t>kV</t>
  </si>
  <si>
    <t>f.</t>
  </si>
  <si>
    <t>Impulse Withstand Voltage (BIL)</t>
  </si>
  <si>
    <t>g.</t>
  </si>
  <si>
    <t>Power frequency (Dry)</t>
  </si>
  <si>
    <t>min</t>
  </si>
  <si>
    <t>h.</t>
  </si>
  <si>
    <t>Partial discharge</t>
  </si>
  <si>
    <t>i.</t>
  </si>
  <si>
    <t>Operating Environments</t>
  </si>
  <si>
    <t>Heavy Pollution</t>
  </si>
  <si>
    <t>j.</t>
  </si>
  <si>
    <t>Aerial Connector</t>
  </si>
  <si>
    <t>2 x 1 bolt holes NEMA Pad</t>
  </si>
  <si>
    <t>k.</t>
  </si>
  <si>
    <t>For XLPE Cable Suitability</t>
  </si>
  <si>
    <t>- Conductor Range</t>
  </si>
  <si>
    <t>Min</t>
  </si>
  <si>
    <r>
      <rPr>
        <sz val="10"/>
        <color theme="1"/>
        <rFont val="Times New Roman"/>
        <family val="1"/>
      </rPr>
      <t>mm</t>
    </r>
    <r>
      <rPr>
        <vertAlign val="superscript"/>
        <sz val="10"/>
        <color theme="1"/>
        <rFont val="Times New Roman"/>
        <family val="1"/>
      </rPr>
      <t>2</t>
    </r>
  </si>
  <si>
    <t>Max</t>
  </si>
  <si>
    <t>- Insulation Diameter (min-max)</t>
  </si>
  <si>
    <t>mm</t>
  </si>
  <si>
    <t>Other*</t>
  </si>
  <si>
    <t>Porcelain</t>
  </si>
  <si>
    <t xml:space="preserve">Other </t>
  </si>
  <si>
    <t>2 x 2 bolt holes NEMA Pad</t>
  </si>
  <si>
    <t>2 x 3 bolt holes NEMA Pad</t>
  </si>
  <si>
    <t>Medium Pollution</t>
  </si>
  <si>
    <t>Extremely Heavy Pollution</t>
  </si>
  <si>
    <t>Insulation Class 15 kV</t>
  </si>
  <si>
    <t>Insulation Class 35 kV</t>
  </si>
  <si>
    <t>X</t>
  </si>
  <si>
    <t>3M</t>
  </si>
  <si>
    <t>Cold Shrink/QT-II 5652/No1</t>
  </si>
  <si>
    <t>Silicone Rubber</t>
  </si>
  <si>
    <r>
      <t>mm</t>
    </r>
    <r>
      <rPr>
        <vertAlign val="superscript"/>
        <sz val="10"/>
        <color theme="1"/>
        <rFont val="Times New Roman"/>
        <family val="1"/>
      </rPr>
      <t>2</t>
    </r>
  </si>
  <si>
    <t>CABLE CLEATS</t>
  </si>
  <si>
    <t>PD 326.CC</t>
  </si>
  <si>
    <t>Dec.2024</t>
  </si>
  <si>
    <t>รายการตรวจ Cable cleat</t>
  </si>
  <si>
    <t>comment</t>
  </si>
  <si>
    <t>Material</t>
  </si>
  <si>
    <t xml:space="preserve"> RTS3-S-02</t>
  </si>
  <si>
    <t>waiting for discussion with P'Ja</t>
  </si>
  <si>
    <t>Metallic:</t>
  </si>
  <si>
    <t>ALUMINUM 5000 SERIES</t>
  </si>
  <si>
    <t>1AB16-2</t>
  </si>
  <si>
    <t>SS316L Stainless steel</t>
  </si>
  <si>
    <t>Composite:</t>
  </si>
  <si>
    <t>Metalic part</t>
  </si>
  <si>
    <t>non-metallic part</t>
  </si>
  <si>
    <t>ANY</t>
  </si>
  <si>
    <t>NORMA GROUP</t>
  </si>
  <si>
    <t>CHINA</t>
  </si>
  <si>
    <t>Force/1Cleat must be more than RF EGAT</t>
  </si>
  <si>
    <t xml:space="preserve">ปรับให้พิจารณาแค่ type โดยขนาดของ cleat </t>
  </si>
  <si>
    <t>FLAT</t>
  </si>
  <si>
    <r>
      <t>Type/Model</t>
    </r>
    <r>
      <rPr>
        <vertAlign val="superscript"/>
        <sz val="10"/>
        <rFont val="Times New Roman"/>
        <family val="1"/>
      </rPr>
      <t>[1]</t>
    </r>
  </si>
  <si>
    <t>FF-T2935</t>
  </si>
  <si>
    <t>จะพิจารณาในขั้นบริหารสัญญา</t>
  </si>
  <si>
    <t>Calculated result</t>
  </si>
  <si>
    <r>
      <t>For XLPE Cable Suitability</t>
    </r>
    <r>
      <rPr>
        <vertAlign val="superscript"/>
        <sz val="10"/>
        <rFont val="Times New Roman"/>
        <family val="1"/>
      </rPr>
      <t>[1]</t>
    </r>
  </si>
  <si>
    <t>ตัดออกเนื่องจากพิจารณาขนาด</t>
  </si>
  <si>
    <t>- Overall Diameter Range</t>
  </si>
  <si>
    <t>mm.</t>
  </si>
  <si>
    <t>ในขั้นบริหารสัญญา</t>
  </si>
  <si>
    <t>conforming with EGAT requirement (IEC 61914)</t>
  </si>
  <si>
    <t>*in case of other, please specify in the box below:</t>
  </si>
  <si>
    <r>
      <t>Classification according to material</t>
    </r>
    <r>
      <rPr>
        <vertAlign val="superscript"/>
        <sz val="10"/>
        <rFont val="Times New Roman"/>
        <family val="1"/>
      </rPr>
      <t>[2]</t>
    </r>
  </si>
  <si>
    <t>Metallic</t>
  </si>
  <si>
    <t>แก้รูปแบบ</t>
  </si>
  <si>
    <t>Material :</t>
  </si>
  <si>
    <t>Composite</t>
  </si>
  <si>
    <t>Stainless Steel</t>
  </si>
  <si>
    <t>EGAT</t>
  </si>
  <si>
    <t>and</t>
  </si>
  <si>
    <t>Polyolefin</t>
  </si>
  <si>
    <t>V</t>
  </si>
  <si>
    <t>I short circuit</t>
  </si>
  <si>
    <t>Lineal Spacing</t>
  </si>
  <si>
    <t>FLAT Force</t>
  </si>
  <si>
    <t>TREFOIL Force</t>
  </si>
  <si>
    <r>
      <t>Resistant to electromechanical forces, withstanding more than one short circuit</t>
    </r>
    <r>
      <rPr>
        <vertAlign val="superscript"/>
        <sz val="10"/>
        <color theme="1"/>
        <rFont val="Times New Roman"/>
        <family val="1"/>
      </rPr>
      <t>[3]</t>
    </r>
  </si>
  <si>
    <t>- Cable centre spacing (S)</t>
  </si>
  <si>
    <t>Force</t>
  </si>
  <si>
    <t>- The peak short circuit current of the 2nd shortcircuit</t>
  </si>
  <si>
    <t>kA</t>
  </si>
  <si>
    <t>Trefoil wtihstrand force</t>
  </si>
  <si>
    <t>- Lineal spacing (D)</t>
  </si>
  <si>
    <t>Flat force withstrand force</t>
  </si>
  <si>
    <t>Formation</t>
  </si>
  <si>
    <t>Trefoil</t>
  </si>
  <si>
    <t>ขอย้ายไปด้านบนได้ไหม</t>
  </si>
  <si>
    <t xml:space="preserve">Note [1]: </t>
  </si>
  <si>
    <t>The exact size of Cable Cleat shall be confirmed after the exact overall diameter of XLPE power cable is confirmed during project stage.</t>
  </si>
  <si>
    <t>เพิ่มเพื่อความชัดเจน</t>
  </si>
  <si>
    <t xml:space="preserve">Note [2]: </t>
  </si>
  <si>
    <r>
      <rPr>
        <b/>
        <sz val="10"/>
        <rFont val="Times New Roman"/>
        <family val="1"/>
      </rPr>
      <t>Definitions comply with IEC 61914.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 only.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composite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and </t>
    </r>
    <r>
      <rPr>
        <u/>
        <sz val="10"/>
        <rFont val="Times New Roman"/>
        <family val="1"/>
      </rPr>
      <t>non-metallic materials</t>
    </r>
    <r>
      <rPr>
        <sz val="10"/>
        <rFont val="Times New Roman"/>
        <family val="1"/>
      </rPr>
      <t>.</t>
    </r>
  </si>
  <si>
    <t>a) Fibre reinforced resin materials are not considered to be composite.</t>
  </si>
  <si>
    <t>b) Materials include any materials supplied by the manufacturer as part of a cable cleat or intermediate restraint or with a cable cleat or intermediate restraint in the same packaging. This may include fixings such as nuts, bolts, screws, washers, springs and pins.</t>
  </si>
  <si>
    <t xml:space="preserve">Note [3]: </t>
  </si>
  <si>
    <t>The data specified in this item shall conform to the Type Test Report of the type proposed.</t>
  </si>
  <si>
    <t xml:space="preserve">Note [4]: </t>
  </si>
  <si>
    <t>The values shall be based on the same cables and conditions of the test for resistance to electromechanical forces specified in IEC 61914.</t>
  </si>
  <si>
    <t>Flat</t>
  </si>
  <si>
    <t>115 kV and below XLPE POWER CABLE</t>
  </si>
  <si>
    <t>FORM PD 322</t>
  </si>
  <si>
    <t>Aug. 2025</t>
  </si>
  <si>
    <t>1AB17</t>
  </si>
  <si>
    <t>JOINT VENTURE of BENYHAPA / Thailand - Thailand</t>
  </si>
  <si>
    <t>1AB17-1</t>
  </si>
  <si>
    <t>Phelps Dodge International (Thailand) Ltd.</t>
  </si>
  <si>
    <t>Thailand</t>
  </si>
  <si>
    <t xml:space="preserve">25kV CU/XLPE/CTS/PVC </t>
  </si>
  <si>
    <t xml:space="preserve"> ICEA S-93-639</t>
  </si>
  <si>
    <t>Voltage Class</t>
  </si>
  <si>
    <t>Calculated Cross-Sectional Area of Stranded Conductor</t>
  </si>
  <si>
    <r>
      <t>mm</t>
    </r>
    <r>
      <rPr>
        <vertAlign val="superscript"/>
        <sz val="10"/>
        <rFont val="Times New Roman"/>
        <family val="1"/>
      </rPr>
      <t>2</t>
    </r>
  </si>
  <si>
    <t>- Material of Conductor</t>
  </si>
  <si>
    <t>Annealed Copper</t>
  </si>
  <si>
    <t>- No. of Wires in the Stranded Conductor</t>
  </si>
  <si>
    <t>- Diameter of Each Wire</t>
  </si>
  <si>
    <t>2.62-2.68</t>
  </si>
  <si>
    <t>Outside Diameter of Stranded Conductor</t>
  </si>
  <si>
    <t>Conductor Screen</t>
  </si>
  <si>
    <t>(Material / Thickness)</t>
  </si>
  <si>
    <t>Semi-conductive XLPE</t>
  </si>
  <si>
    <t>/</t>
  </si>
  <si>
    <t>Insulation</t>
  </si>
  <si>
    <t>XLPE</t>
  </si>
  <si>
    <t>Insulation Screen</t>
  </si>
  <si>
    <t xml:space="preserve">Outside Diameter of Insulation with </t>
  </si>
  <si>
    <t>Extruded Semi-Conducting Insulation Screen (min-max)</t>
  </si>
  <si>
    <t>Metal Screen/Sheath</t>
  </si>
  <si>
    <t>Copper tape</t>
  </si>
  <si>
    <t>l.</t>
  </si>
  <si>
    <t>Cushion</t>
  </si>
  <si>
    <t xml:space="preserve">        Polyester non-woven tape (Spunbond tape)</t>
  </si>
  <si>
    <t>m.</t>
  </si>
  <si>
    <t>Oversheath (Jacket)</t>
  </si>
  <si>
    <t>Black PVC</t>
  </si>
  <si>
    <t>n.</t>
  </si>
  <si>
    <t>Overall Diameter (min-max)</t>
  </si>
  <si>
    <t>o.</t>
  </si>
  <si>
    <t>p.</t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</si>
  <si>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</si>
  <si>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t>A</t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</si>
  <si>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</si>
  <si>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</si>
  <si>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>q.</t>
  </si>
  <si>
    <t>Min Bending Radius as a Multiple of Cable Diameter</t>
  </si>
  <si>
    <t>- During installation</t>
  </si>
  <si>
    <t>Times</t>
  </si>
  <si>
    <t>- After Installation</t>
  </si>
  <si>
    <t>r.</t>
  </si>
  <si>
    <t>Max Resistance at 20 °C of Conductor</t>
  </si>
  <si>
    <r>
      <t>Ω</t>
    </r>
    <r>
      <rPr>
        <sz val="8.5"/>
        <rFont val="Times New Roman"/>
        <family val="1"/>
      </rPr>
      <t>/km</t>
    </r>
  </si>
  <si>
    <t>s.</t>
  </si>
  <si>
    <t>Length of Cable per Reel</t>
  </si>
  <si>
    <t>m</t>
  </si>
  <si>
    <t>Conductor Temperature not in Excess of 90°C at 100% Load Factor and at an Ambient Temperature of 45°C</t>
  </si>
  <si>
    <t>Drawing and dimension of Cable Reels/Drums together with packing details shall be submitted during project stage for EGAT approval.</t>
  </si>
  <si>
    <t>conforming with EGAT requirement ( ICEA Pub. No S-93-639)</t>
  </si>
  <si>
    <t>conforming with EGAT requirement (TIS 2202)</t>
  </si>
  <si>
    <t>conforming with EGAT requirement (IEC 62067)</t>
  </si>
  <si>
    <t>Bangkok Cable Co., Ltd.</t>
  </si>
  <si>
    <t>CV(TS)</t>
  </si>
  <si>
    <t>Copper</t>
  </si>
  <si>
    <t>Polyester Non-Woven Tape</t>
  </si>
  <si>
    <t>PVC</t>
  </si>
  <si>
    <t>`</t>
  </si>
  <si>
    <t>LOW VOLTAGE CABLE AND CONDUCTOR</t>
  </si>
  <si>
    <t>FORM PD-LV Cable &amp; Con</t>
  </si>
  <si>
    <t>Oct.2024</t>
  </si>
  <si>
    <t>1AB18</t>
  </si>
  <si>
    <t>1AB18-1, 1AB18-2, 1AB18-3, 1AB18-4, 1AB18-5, 1AB18-6</t>
  </si>
  <si>
    <t>Power Cable and Control Cable</t>
  </si>
  <si>
    <t>Power Cable</t>
  </si>
  <si>
    <t>Control Cable</t>
  </si>
  <si>
    <t>Twisted Pair Control Cable</t>
  </si>
  <si>
    <t xml:space="preserve">- Manufacturer </t>
  </si>
  <si>
    <t xml:space="preserve">- Country </t>
  </si>
  <si>
    <t>- Applied Standards</t>
  </si>
  <si>
    <t>conforming with EGAT requirement (TIS11-2559)</t>
  </si>
  <si>
    <t>conforming with EGAT requirement (TIS838-2531)</t>
  </si>
  <si>
    <t>Lighting cable (THW and/or NYY)</t>
  </si>
  <si>
    <t>THW (IEC01)</t>
  </si>
  <si>
    <t>NYY</t>
  </si>
  <si>
    <t>Phelps Dodge International (Thailand)</t>
  </si>
  <si>
    <t>conforming with EGAT requirement (TIS11-2553)</t>
  </si>
  <si>
    <t>Annealed Copper Ground Wire</t>
  </si>
  <si>
    <t>conforming with EGAT requirement (ASTM B3, ASTM B8)</t>
  </si>
  <si>
    <t>Overhead Ground Wire</t>
  </si>
  <si>
    <t>Aluminum Conductor</t>
  </si>
  <si>
    <t>conforming with EGAT requirement (ASTM B231, ASTM B232)</t>
  </si>
  <si>
    <t>Note: Routine tests and/or Quality Conformance Tests are required for equipment in a, b, and c.</t>
  </si>
  <si>
    <t>&lt;&lt; optional in case of tests are required</t>
  </si>
  <si>
    <t>conforming with EGAT requirement (ASTM A363)</t>
  </si>
  <si>
    <t>1AB18-7</t>
  </si>
  <si>
    <t>Thai Wire Product or Sinthani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</si>
</sst>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rgb="FFFF00FF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vertAlign val="superscript"/>
      <sz val="10"/>
      <name val="Times New Roman"/>
      <family val="1"/>
    </font>
    <font>
      <sz val="8.5"/>
      <name val="Times New Roman"/>
      <family val="1"/>
    </font>
    <font>
      <u/>
      <sz val="12"/>
      <color theme="1"/>
      <name val="Times New Roman"/>
      <family val="1"/>
    </font>
    <font>
      <sz val="10"/>
      <color rgb="FFFF0000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9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6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 applyProtection="1">
      <alignment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5" xfId="0" applyFont="1" applyBorder="1" applyAlignment="1" applyProtection="1">
      <alignment horizontal="center" shrinkToFit="1"/>
      <protection locked="0"/>
    </xf>
    <xf numFmtId="0" fontId="4" fillId="0" borderId="6" xfId="0" applyFont="1" applyBorder="1" applyAlignment="1" applyProtection="1">
      <alignment horizontal="center" shrinkToFit="1"/>
      <protection locked="0"/>
    </xf>
    <xf numFmtId="0" fontId="4" fillId="0" borderId="7" xfId="0" applyFont="1" applyBorder="1" applyAlignment="1" applyProtection="1">
      <alignment horizontal="center" shrinkToFit="1"/>
      <protection locked="0"/>
    </xf>
    <xf numFmtId="0" fontId="4" fillId="0" borderId="8" xfId="0" applyFont="1" applyBorder="1" applyAlignment="1" applyProtection="1">
      <alignment horizontal="center" shrinkToFit="1"/>
      <protection locked="0"/>
    </xf>
    <xf numFmtId="0" fontId="7" fillId="0" borderId="0" xfId="0" applyFont="1"/>
    <xf numFmtId="0" fontId="7" fillId="0" borderId="0" xfId="0" quotePrefix="1" applyFont="1"/>
    <xf numFmtId="0" fontId="4" fillId="0" borderId="0" xfId="0" applyFont="1" applyAlignment="1">
      <alignment horizontal="center"/>
    </xf>
    <xf numFmtId="0" fontId="4" fillId="0" borderId="6" xfId="0" applyFont="1" applyBorder="1" applyAlignment="1" applyProtection="1">
      <alignment horizontal="left" vertical="top" shrinkToFit="1"/>
      <protection locked="0"/>
    </xf>
    <xf numFmtId="0" fontId="4" fillId="0" borderId="8" xfId="0" applyFont="1" applyBorder="1" applyAlignment="1" applyProtection="1">
      <alignment horizontal="left" vertical="top" shrinkToFit="1"/>
      <protection locked="0"/>
    </xf>
    <xf numFmtId="0" fontId="4" fillId="0" borderId="7" xfId="0" applyFont="1" applyBorder="1" applyAlignment="1" applyProtection="1">
      <alignment horizontal="left" vertical="top" shrinkToFit="1"/>
      <protection locked="0"/>
    </xf>
    <xf numFmtId="0" fontId="4" fillId="0" borderId="0" xfId="0" applyFont="1" applyAlignment="1">
      <alignment horizontal="left"/>
    </xf>
    <xf numFmtId="0" fontId="4" fillId="0" borderId="2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right"/>
    </xf>
    <xf numFmtId="0" fontId="4" fillId="0" borderId="9" xfId="0" applyFont="1" applyBorder="1" applyAlignment="1" applyProtection="1">
      <alignment shrinkToFit="1"/>
      <protection locked="0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quotePrefix="1" applyFont="1"/>
    <xf numFmtId="0" fontId="9" fillId="0" borderId="0" xfId="0" applyFont="1" applyAlignment="1">
      <alignment vertical="top"/>
    </xf>
    <xf numFmtId="0" fontId="3" fillId="0" borderId="0" xfId="1" applyFont="1" applyAlignment="1">
      <alignment horizontal="center" vertical="center" wrapText="1"/>
    </xf>
    <xf numFmtId="0" fontId="4" fillId="0" borderId="0" xfId="1" applyFont="1"/>
    <xf numFmtId="0" fontId="5" fillId="0" borderId="0" xfId="1" applyFont="1" applyAlignment="1">
      <alignment horizontal="center" wrapText="1"/>
    </xf>
    <xf numFmtId="0" fontId="4" fillId="0" borderId="0" xfId="1" applyFont="1" applyAlignment="1">
      <alignment horizontal="right" wrapText="1"/>
    </xf>
    <xf numFmtId="0" fontId="6" fillId="0" borderId="0" xfId="1" applyFont="1"/>
    <xf numFmtId="0" fontId="5" fillId="0" borderId="0" xfId="1" applyFont="1"/>
    <xf numFmtId="0" fontId="4" fillId="0" borderId="1" xfId="1" applyFont="1" applyBorder="1" applyAlignment="1">
      <alignment horizontal="center"/>
    </xf>
    <xf numFmtId="0" fontId="4" fillId="0" borderId="2" xfId="1" applyFont="1" applyBorder="1" applyAlignment="1" applyProtection="1">
      <alignment shrinkToFit="1"/>
      <protection locked="0"/>
    </xf>
    <xf numFmtId="0" fontId="4" fillId="0" borderId="3" xfId="1" applyFont="1" applyBorder="1" applyAlignment="1" applyProtection="1">
      <alignment horizontal="center" shrinkToFit="1"/>
      <protection locked="0"/>
    </xf>
    <xf numFmtId="0" fontId="4" fillId="0" borderId="4" xfId="1" applyFont="1" applyBorder="1" applyAlignment="1" applyProtection="1">
      <alignment horizontal="center" shrinkToFit="1"/>
      <protection locked="0"/>
    </xf>
    <xf numFmtId="0" fontId="4" fillId="0" borderId="5" xfId="1" applyFont="1" applyBorder="1" applyAlignment="1" applyProtection="1">
      <alignment horizontal="center" shrinkToFit="1"/>
      <protection locked="0"/>
    </xf>
    <xf numFmtId="0" fontId="4" fillId="0" borderId="6" xfId="1" applyFont="1" applyBorder="1" applyAlignment="1" applyProtection="1">
      <alignment horizontal="center" shrinkToFit="1"/>
      <protection locked="0"/>
    </xf>
    <xf numFmtId="0" fontId="4" fillId="0" borderId="7" xfId="1" applyFont="1" applyBorder="1" applyAlignment="1" applyProtection="1">
      <alignment horizontal="center" shrinkToFit="1"/>
      <protection locked="0"/>
    </xf>
    <xf numFmtId="0" fontId="4" fillId="0" borderId="8" xfId="1" applyFont="1" applyBorder="1" applyAlignment="1" applyProtection="1">
      <alignment horizontal="center" shrinkToFit="1"/>
      <protection locked="0"/>
    </xf>
    <xf numFmtId="0" fontId="7" fillId="0" borderId="0" xfId="1" applyFont="1"/>
    <xf numFmtId="0" fontId="7" fillId="0" borderId="0" xfId="1" quotePrefix="1" applyFont="1"/>
    <xf numFmtId="0" fontId="4" fillId="0" borderId="0" xfId="1" applyFont="1" applyAlignment="1">
      <alignment horizontal="center"/>
    </xf>
    <xf numFmtId="0" fontId="4" fillId="0" borderId="6" xfId="1" applyFont="1" applyBorder="1" applyAlignment="1" applyProtection="1">
      <alignment horizontal="left" vertical="top" shrinkToFit="1"/>
      <protection locked="0"/>
    </xf>
    <xf numFmtId="0" fontId="4" fillId="0" borderId="8" xfId="1" applyFont="1" applyBorder="1" applyAlignment="1" applyProtection="1">
      <alignment horizontal="left" vertical="top" shrinkToFit="1"/>
      <protection locked="0"/>
    </xf>
    <xf numFmtId="0" fontId="4" fillId="0" borderId="7" xfId="1" applyFont="1" applyBorder="1" applyAlignment="1" applyProtection="1">
      <alignment horizontal="left" vertical="top" shrinkToFit="1"/>
      <protection locked="0"/>
    </xf>
    <xf numFmtId="0" fontId="4" fillId="0" borderId="0" xfId="1" applyFont="1" applyAlignment="1">
      <alignment horizontal="left"/>
    </xf>
    <xf numFmtId="0" fontId="1" fillId="0" borderId="0" xfId="1"/>
    <xf numFmtId="0" fontId="4" fillId="0" borderId="2" xfId="1" applyFont="1" applyBorder="1" applyAlignment="1" applyProtection="1">
      <alignment horizontal="center" shrinkToFit="1"/>
      <protection locked="0"/>
    </xf>
    <xf numFmtId="0" fontId="4" fillId="0" borderId="0" xfId="1" applyFont="1" applyAlignment="1">
      <alignment horizontal="right"/>
    </xf>
    <xf numFmtId="0" fontId="4" fillId="0" borderId="9" xfId="1" applyFont="1" applyBorder="1" applyAlignment="1" applyProtection="1">
      <alignment shrinkToFit="1"/>
      <protection locked="0"/>
    </xf>
    <xf numFmtId="0" fontId="4" fillId="0" borderId="0" xfId="1" applyFont="1" applyAlignment="1">
      <alignment wrapText="1"/>
    </xf>
    <xf numFmtId="0" fontId="4" fillId="0" borderId="0" xfId="1" applyFont="1" applyAlignment="1">
      <alignment vertical="top" wrapText="1"/>
    </xf>
    <xf numFmtId="0" fontId="4" fillId="0" borderId="0" xfId="1" quotePrefix="1" applyFont="1"/>
    <xf numFmtId="0" fontId="9" fillId="0" borderId="0" xfId="1" applyFont="1" applyAlignment="1">
      <alignment vertical="top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10" fillId="0" borderId="0" xfId="1" applyFont="1"/>
    <xf numFmtId="0" fontId="11" fillId="0" borderId="0" xfId="1" applyFont="1"/>
    <xf numFmtId="0" fontId="4" fillId="0" borderId="6" xfId="1" applyFont="1" applyBorder="1" applyAlignment="1" applyProtection="1">
      <alignment horizontal="center" shrinkToFit="1"/>
      <protection locked="0"/>
    </xf>
    <xf numFmtId="0" fontId="4" fillId="0" borderId="8" xfId="1" applyFont="1" applyBorder="1" applyAlignment="1" applyProtection="1">
      <alignment horizontal="center" shrinkToFit="1"/>
      <protection locked="0"/>
    </xf>
    <xf numFmtId="0" fontId="4" fillId="0" borderId="7" xfId="1" applyFont="1" applyBorder="1" applyAlignment="1" applyProtection="1">
      <alignment horizontal="center" shrinkToFit="1"/>
      <protection locked="0"/>
    </xf>
    <xf numFmtId="0" fontId="12" fillId="0" borderId="0" xfId="1" applyFont="1"/>
    <xf numFmtId="0" fontId="12" fillId="0" borderId="0" xfId="1" quotePrefix="1" applyFont="1"/>
    <xf numFmtId="0" fontId="12" fillId="0" borderId="0" xfId="1" applyFont="1" applyAlignment="1">
      <alignment horizontal="left"/>
    </xf>
    <xf numFmtId="0" fontId="12" fillId="0" borderId="2" xfId="1" applyFont="1" applyBorder="1" applyAlignment="1" applyProtection="1">
      <alignment shrinkToFit="1"/>
      <protection locked="0"/>
    </xf>
    <xf numFmtId="0" fontId="12" fillId="0" borderId="0" xfId="1" applyFont="1" applyAlignment="1">
      <alignment horizontal="right"/>
    </xf>
    <xf numFmtId="0" fontId="12" fillId="0" borderId="8" xfId="1" applyFont="1" applyBorder="1"/>
    <xf numFmtId="0" fontId="4" fillId="0" borderId="10" xfId="1" applyFont="1" applyBorder="1"/>
    <xf numFmtId="0" fontId="4" fillId="0" borderId="6" xfId="1" applyFont="1" applyBorder="1" applyAlignment="1" applyProtection="1">
      <alignment horizontal="left" shrinkToFit="1"/>
      <protection locked="0"/>
    </xf>
    <xf numFmtId="0" fontId="4" fillId="0" borderId="8" xfId="1" applyFont="1" applyBorder="1" applyAlignment="1" applyProtection="1">
      <alignment horizontal="left" shrinkToFit="1"/>
      <protection locked="0"/>
    </xf>
    <xf numFmtId="0" fontId="4" fillId="0" borderId="7" xfId="1" applyFont="1" applyBorder="1" applyAlignment="1" applyProtection="1">
      <alignment horizontal="left" shrinkToFit="1"/>
      <protection locked="0"/>
    </xf>
    <xf numFmtId="0" fontId="1" fillId="0" borderId="6" xfId="1" applyBorder="1" applyAlignment="1" applyProtection="1">
      <alignment horizontal="center" shrinkToFit="1"/>
      <protection locked="0"/>
    </xf>
    <xf numFmtId="0" fontId="1" fillId="0" borderId="8" xfId="1" applyBorder="1" applyAlignment="1" applyProtection="1">
      <alignment horizontal="center" shrinkToFit="1"/>
      <protection locked="0"/>
    </xf>
    <xf numFmtId="0" fontId="1" fillId="0" borderId="7" xfId="1" applyBorder="1" applyAlignment="1" applyProtection="1">
      <alignment horizontal="center" shrinkToFit="1"/>
      <protection locked="0"/>
    </xf>
    <xf numFmtId="0" fontId="12" fillId="0" borderId="2" xfId="1" applyFont="1" applyBorder="1" applyAlignment="1" applyProtection="1">
      <alignment horizontal="center" vertical="center" shrinkToFit="1"/>
      <protection locked="0"/>
    </xf>
    <xf numFmtId="0" fontId="12" fillId="0" borderId="0" xfId="1" applyFont="1" applyAlignment="1">
      <alignment wrapText="1"/>
    </xf>
    <xf numFmtId="0" fontId="14" fillId="0" borderId="0" xfId="1" applyFont="1" applyAlignment="1">
      <alignment horizontal="left" wrapText="1"/>
    </xf>
    <xf numFmtId="0" fontId="12" fillId="0" borderId="0" xfId="1" applyFont="1" applyAlignment="1">
      <alignment horizontal="left" wrapText="1"/>
    </xf>
    <xf numFmtId="0" fontId="12" fillId="0" borderId="0" xfId="1" applyFont="1" applyAlignment="1">
      <alignment horizontal="left"/>
    </xf>
    <xf numFmtId="0" fontId="12" fillId="0" borderId="6" xfId="1" applyFont="1" applyBorder="1" applyAlignment="1" applyProtection="1">
      <alignment horizontal="center" shrinkToFit="1"/>
      <protection locked="0"/>
    </xf>
    <xf numFmtId="0" fontId="12" fillId="0" borderId="8" xfId="1" applyFont="1" applyBorder="1" applyAlignment="1" applyProtection="1">
      <alignment horizontal="center" shrinkToFit="1"/>
      <protection locked="0"/>
    </xf>
    <xf numFmtId="0" fontId="12" fillId="0" borderId="7" xfId="1" applyFont="1" applyBorder="1" applyAlignment="1" applyProtection="1">
      <alignment horizontal="center" shrinkToFit="1"/>
      <protection locked="0"/>
    </xf>
    <xf numFmtId="0" fontId="12" fillId="0" borderId="10" xfId="1" applyFont="1" applyBorder="1" applyAlignment="1">
      <alignment horizontal="left"/>
    </xf>
    <xf numFmtId="0" fontId="12" fillId="0" borderId="0" xfId="1" applyFont="1" applyAlignment="1">
      <alignment vertical="top" wrapText="1"/>
    </xf>
    <xf numFmtId="0" fontId="14" fillId="0" borderId="0" xfId="1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10" fillId="0" borderId="0" xfId="1" applyFont="1" applyAlignment="1">
      <alignment horizontal="center"/>
    </xf>
    <xf numFmtId="0" fontId="4" fillId="0" borderId="0" xfId="1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/>
    </xf>
    <xf numFmtId="0" fontId="4" fillId="0" borderId="11" xfId="1" applyFont="1" applyBorder="1"/>
    <xf numFmtId="0" fontId="15" fillId="0" borderId="0" xfId="1" applyFont="1" applyAlignment="1">
      <alignment vertical="top"/>
    </xf>
    <xf numFmtId="0" fontId="11" fillId="0" borderId="0" xfId="1" applyFont="1" applyAlignment="1">
      <alignment vertical="top"/>
    </xf>
    <xf numFmtId="0" fontId="12" fillId="0" borderId="0" xfId="1" applyFont="1" applyAlignment="1">
      <alignment horizontal="left" vertical="top"/>
    </xf>
    <xf numFmtId="0" fontId="15" fillId="0" borderId="0" xfId="1" applyFont="1"/>
    <xf numFmtId="0" fontId="12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 wrapText="1"/>
    </xf>
    <xf numFmtId="0" fontId="12" fillId="0" borderId="0" xfId="1" applyFont="1" applyAlignment="1">
      <alignment horizontal="right"/>
    </xf>
    <xf numFmtId="0" fontId="4" fillId="0" borderId="1" xfId="1" applyFont="1" applyBorder="1"/>
    <xf numFmtId="0" fontId="4" fillId="0" borderId="12" xfId="1" applyFont="1" applyBorder="1"/>
    <xf numFmtId="0" fontId="12" fillId="0" borderId="0" xfId="1" applyFont="1" applyAlignment="1">
      <alignment horizontal="center" vertical="top"/>
    </xf>
    <xf numFmtId="0" fontId="4" fillId="0" borderId="6" xfId="1" applyFont="1" applyBorder="1" applyAlignment="1" applyProtection="1">
      <alignment horizontal="center"/>
      <protection locked="0"/>
    </xf>
    <xf numFmtId="0" fontId="4" fillId="0" borderId="8" xfId="1" applyFont="1" applyBorder="1" applyAlignment="1" applyProtection="1">
      <alignment horizontal="center"/>
      <protection locked="0"/>
    </xf>
    <xf numFmtId="0" fontId="4" fillId="0" borderId="7" xfId="1" applyFont="1" applyBorder="1" applyAlignment="1" applyProtection="1">
      <alignment horizontal="center"/>
      <protection locked="0"/>
    </xf>
    <xf numFmtId="0" fontId="12" fillId="0" borderId="0" xfId="1" applyFont="1" applyAlignment="1">
      <alignment horizontal="center"/>
    </xf>
    <xf numFmtId="0" fontId="12" fillId="0" borderId="8" xfId="1" applyFont="1" applyBorder="1" applyAlignment="1">
      <alignment horizontal="center"/>
    </xf>
    <xf numFmtId="0" fontId="16" fillId="0" borderId="0" xfId="1" applyFont="1"/>
    <xf numFmtId="0" fontId="17" fillId="0" borderId="0" xfId="1" applyFont="1"/>
    <xf numFmtId="0" fontId="12" fillId="0" borderId="6" xfId="1" applyFont="1" applyBorder="1" applyAlignment="1" applyProtection="1">
      <alignment horizontal="left" vertical="top" shrinkToFit="1"/>
      <protection locked="0"/>
    </xf>
    <xf numFmtId="0" fontId="12" fillId="0" borderId="8" xfId="1" applyFont="1" applyBorder="1" applyAlignment="1" applyProtection="1">
      <alignment horizontal="left" vertical="top" shrinkToFit="1"/>
      <protection locked="0"/>
    </xf>
    <xf numFmtId="0" fontId="12" fillId="0" borderId="7" xfId="1" applyFont="1" applyBorder="1" applyAlignment="1" applyProtection="1">
      <alignment horizontal="left" vertical="top" shrinkToFit="1"/>
      <protection locked="0"/>
    </xf>
    <xf numFmtId="0" fontId="12" fillId="0" borderId="0" xfId="1" quotePrefix="1" applyFont="1" applyAlignment="1">
      <alignment horizontal="center"/>
    </xf>
    <xf numFmtId="0" fontId="4" fillId="0" borderId="2" xfId="1" applyFont="1" applyBorder="1" applyAlignment="1" applyProtection="1">
      <alignment horizontal="center"/>
      <protection locked="0"/>
    </xf>
    <xf numFmtId="0" fontId="17" fillId="0" borderId="0" xfId="1" applyFont="1" applyAlignment="1">
      <alignment shrinkToFit="1"/>
    </xf>
    <xf numFmtId="0" fontId="16" fillId="0" borderId="0" xfId="1" applyFont="1" applyAlignment="1">
      <alignment shrinkToFit="1"/>
    </xf>
    <xf numFmtId="0" fontId="12" fillId="0" borderId="0" xfId="1" applyFont="1" applyAlignment="1">
      <alignment shrinkToFit="1"/>
    </xf>
    <xf numFmtId="0" fontId="12" fillId="0" borderId="11" xfId="1" applyFont="1" applyBorder="1"/>
    <xf numFmtId="0" fontId="15" fillId="0" borderId="0" xfId="1" applyFont="1" applyAlignment="1">
      <alignment horizontal="center" vertical="top"/>
    </xf>
    <xf numFmtId="0" fontId="12" fillId="0" borderId="2" xfId="1" applyFont="1" applyBorder="1" applyAlignment="1" applyProtection="1">
      <alignment horizontal="center" shrinkToFit="1"/>
      <protection locked="0"/>
    </xf>
    <xf numFmtId="0" fontId="1" fillId="0" borderId="0" xfId="1"/>
    <xf numFmtId="0" fontId="16" fillId="0" borderId="0" xfId="1" applyFont="1" applyAlignment="1">
      <alignment horizontal="right"/>
    </xf>
    <xf numFmtId="17" fontId="16" fillId="0" borderId="0" xfId="1" applyNumberFormat="1" applyFont="1" applyAlignment="1">
      <alignment horizontal="right"/>
    </xf>
    <xf numFmtId="17" fontId="7" fillId="0" borderId="0" xfId="1" applyNumberFormat="1" applyFont="1"/>
    <xf numFmtId="0" fontId="3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13" xfId="1" applyFont="1" applyBorder="1" applyAlignment="1" applyProtection="1">
      <alignment horizontal="center" vertical="top" wrapText="1"/>
      <protection locked="0"/>
    </xf>
    <xf numFmtId="0" fontId="4" fillId="0" borderId="14" xfId="1" applyFont="1" applyBorder="1" applyAlignment="1" applyProtection="1">
      <alignment horizontal="center" vertical="top" wrapText="1"/>
      <protection locked="0"/>
    </xf>
    <xf numFmtId="0" fontId="1" fillId="0" borderId="4" xfId="1" applyBorder="1" applyProtection="1">
      <protection locked="0"/>
    </xf>
    <xf numFmtId="0" fontId="1" fillId="0" borderId="15" xfId="1" applyBorder="1" applyProtection="1">
      <protection locked="0"/>
    </xf>
    <xf numFmtId="0" fontId="1" fillId="0" borderId="16" xfId="1" applyBorder="1" applyProtection="1">
      <protection locked="0"/>
    </xf>
    <xf numFmtId="0" fontId="1" fillId="0" borderId="17" xfId="1" applyBorder="1" applyProtection="1">
      <protection locked="0"/>
    </xf>
    <xf numFmtId="0" fontId="1" fillId="0" borderId="11" xfId="1" applyBorder="1" applyProtection="1">
      <protection locked="0"/>
    </xf>
    <xf numFmtId="0" fontId="1" fillId="0" borderId="18" xfId="1" applyBorder="1" applyProtection="1">
      <protection locked="0"/>
    </xf>
    <xf numFmtId="0" fontId="12" fillId="0" borderId="14" xfId="1" applyFont="1" applyBorder="1" applyAlignment="1" applyProtection="1">
      <alignment horizontal="center" vertical="top" wrapText="1"/>
      <protection locked="0"/>
    </xf>
    <xf numFmtId="0" fontId="12" fillId="0" borderId="4" xfId="1" applyFont="1" applyBorder="1" applyProtection="1">
      <protection locked="0"/>
    </xf>
    <xf numFmtId="0" fontId="12" fillId="0" borderId="15" xfId="1" applyFont="1" applyBorder="1" applyProtection="1">
      <protection locked="0"/>
    </xf>
    <xf numFmtId="0" fontId="12" fillId="0" borderId="17" xfId="1" applyFont="1" applyBorder="1" applyProtection="1">
      <protection locked="0"/>
    </xf>
    <xf numFmtId="0" fontId="12" fillId="0" borderId="11" xfId="1" applyFont="1" applyBorder="1" applyProtection="1">
      <protection locked="0"/>
    </xf>
    <xf numFmtId="0" fontId="12" fillId="0" borderId="18" xfId="1" applyFont="1" applyBorder="1" applyProtection="1">
      <protection locked="0"/>
    </xf>
    <xf numFmtId="0" fontId="7" fillId="0" borderId="0" xfId="1" applyFont="1" applyAlignment="1">
      <alignment horizontal="center" vertical="top"/>
    </xf>
    <xf numFmtId="0" fontId="7" fillId="0" borderId="0" xfId="1" applyFont="1" applyAlignment="1">
      <alignment vertical="top"/>
    </xf>
    <xf numFmtId="0" fontId="20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20" fillId="0" borderId="1" xfId="1" applyFont="1" applyBorder="1" applyAlignment="1">
      <alignment horizontal="center" vertical="center"/>
    </xf>
    <xf numFmtId="0" fontId="1" fillId="0" borderId="1" xfId="1" applyBorder="1"/>
    <xf numFmtId="0" fontId="20" fillId="0" borderId="0" xfId="1" applyFont="1" applyAlignment="1">
      <alignment horizontal="center" vertical="center" wrapText="1"/>
    </xf>
    <xf numFmtId="0" fontId="7" fillId="0" borderId="0" xfId="1" quotePrefix="1" applyFont="1" applyAlignment="1">
      <alignment vertical="top"/>
    </xf>
    <xf numFmtId="0" fontId="4" fillId="0" borderId="2" xfId="1" applyFont="1" applyBorder="1" applyAlignment="1" applyProtection="1">
      <alignment horizontal="center"/>
      <protection locked="0"/>
    </xf>
    <xf numFmtId="0" fontId="4" fillId="0" borderId="8" xfId="1" applyFont="1" applyBorder="1" applyProtection="1">
      <protection locked="0"/>
    </xf>
    <xf numFmtId="0" fontId="4" fillId="0" borderId="7" xfId="1" applyFont="1" applyBorder="1" applyProtection="1">
      <protection locked="0"/>
    </xf>
    <xf numFmtId="0" fontId="4" fillId="0" borderId="19" xfId="1" applyFont="1" applyBorder="1" applyAlignment="1" applyProtection="1">
      <alignment horizontal="center" vertical="top" wrapText="1"/>
      <protection locked="0"/>
    </xf>
    <xf numFmtId="0" fontId="1" fillId="0" borderId="8" xfId="1" applyBorder="1" applyProtection="1">
      <protection locked="0"/>
    </xf>
    <xf numFmtId="0" fontId="1" fillId="0" borderId="20" xfId="1" applyBorder="1" applyProtection="1">
      <protection locked="0"/>
    </xf>
    <xf numFmtId="0" fontId="4" fillId="0" borderId="2" xfId="1" applyFont="1" applyBorder="1" applyAlignment="1" applyProtection="1">
      <alignment horizontal="center" vertical="top" wrapText="1"/>
      <protection locked="0"/>
    </xf>
    <xf numFmtId="0" fontId="1" fillId="0" borderId="7" xfId="1" applyBorder="1" applyProtection="1">
      <protection locked="0"/>
    </xf>
    <xf numFmtId="0" fontId="4" fillId="0" borderId="0" xfId="1" applyFont="1" applyAlignment="1">
      <alignment vertical="center"/>
    </xf>
    <xf numFmtId="0" fontId="1" fillId="0" borderId="0" xfId="1" applyAlignment="1">
      <alignment vertical="center"/>
    </xf>
    <xf numFmtId="0" fontId="21" fillId="0" borderId="2" xfId="1" applyFont="1" applyBorder="1" applyAlignment="1" applyProtection="1">
      <alignment horizontal="center" vertical="top" wrapText="1"/>
      <protection locked="0"/>
    </xf>
    <xf numFmtId="0" fontId="2" fillId="0" borderId="8" xfId="1" applyFont="1" applyBorder="1" applyProtection="1">
      <protection locked="0"/>
    </xf>
    <xf numFmtId="0" fontId="2" fillId="0" borderId="7" xfId="1" applyFont="1" applyBorder="1" applyProtection="1">
      <protection locked="0"/>
    </xf>
    <xf numFmtId="0" fontId="4" fillId="0" borderId="2" xfId="1" applyFont="1" applyBorder="1" applyAlignment="1" applyProtection="1">
      <alignment horizontal="center" vertical="top"/>
      <protection locked="0"/>
    </xf>
    <xf numFmtId="0" fontId="7" fillId="0" borderId="2" xfId="1" applyFont="1" applyBorder="1"/>
    <xf numFmtId="0" fontId="7" fillId="0" borderId="0" xfId="1" applyFont="1" applyAlignment="1">
      <alignment horizontal="center" vertical="center"/>
    </xf>
    <xf numFmtId="0" fontId="22" fillId="0" borderId="2" xfId="1" applyFont="1" applyBorder="1" applyAlignment="1" applyProtection="1">
      <alignment horizontal="left" vertical="top" wrapText="1"/>
      <protection locked="0"/>
    </xf>
    <xf numFmtId="0" fontId="22" fillId="0" borderId="2" xfId="1" applyFont="1" applyBorder="1" applyAlignment="1" applyProtection="1">
      <alignment horizontal="left" vertical="top"/>
      <protection locked="0"/>
    </xf>
    <xf numFmtId="0" fontId="7" fillId="0" borderId="0" xfId="1" applyFont="1" applyAlignment="1">
      <alignment vertical="top" wrapText="1"/>
    </xf>
    <xf numFmtId="0" fontId="4" fillId="0" borderId="19" xfId="1" applyFont="1" applyBorder="1" applyAlignment="1" applyProtection="1">
      <alignment vertical="top" wrapText="1"/>
      <protection locked="0"/>
    </xf>
    <xf numFmtId="0" fontId="4" fillId="0" borderId="20" xfId="1" applyFont="1" applyBorder="1" applyProtection="1">
      <protection locked="0"/>
    </xf>
    <xf numFmtId="0" fontId="4" fillId="0" borderId="19" xfId="1" applyFont="1" applyBorder="1" applyAlignment="1" applyProtection="1">
      <alignment horizontal="center"/>
      <protection locked="0"/>
    </xf>
    <xf numFmtId="0" fontId="4" fillId="0" borderId="0" xfId="1" applyFont="1" applyAlignment="1">
      <alignment horizontal="left" vertical="top"/>
    </xf>
    <xf numFmtId="0" fontId="1" fillId="0" borderId="2" xfId="1" applyBorder="1" applyAlignment="1" applyProtection="1">
      <alignment horizontal="center"/>
      <protection locked="0"/>
    </xf>
    <xf numFmtId="0" fontId="1" fillId="0" borderId="8" xfId="1" applyBorder="1" applyAlignment="1" applyProtection="1">
      <alignment horizontal="center"/>
      <protection locked="0"/>
    </xf>
    <xf numFmtId="0" fontId="1" fillId="0" borderId="20" xfId="1" applyBorder="1" applyAlignment="1" applyProtection="1">
      <alignment horizontal="center"/>
      <protection locked="0"/>
    </xf>
  </cellXfs>
  <cellStyles count="2">
    <cellStyle name="Normal" xfId="0" builtinId="0"/>
    <cellStyle name="Normal 2 2" xfId="1" xr:uid="{180A2E7B-DD2B-4B30-93DE-112453E4DB10}"/>
  </cellStyles>
  <dxfs count="111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3B0B-8536-463C-A105-8077166DE721}">
  <dimension ref="A1:O72"/>
  <sheetViews>
    <sheetView tabSelected="1" view="pageBreakPreview" zoomScale="85" zoomScaleNormal="85" zoomScaleSheetLayoutView="85" workbookViewId="0">
      <selection activeCell="H46" sqref="H46:U46"/>
    </sheetView>
  </sheetViews>
  <sheetFormatPr defaultColWidth="8.90625" defaultRowHeight="13" x14ac:dyDescent="0.3"/>
  <cols>
    <col min="1" max="1" width="2.26953125" style="2" customWidth="1"/>
    <col min="2" max="3" width="8.90625" style="2"/>
    <col min="4" max="4" width="20.6328125" style="2" customWidth="1"/>
    <col min="5" max="5" width="24.08984375" style="2" customWidth="1"/>
    <col min="6" max="6" width="1.36328125" style="2" customWidth="1"/>
    <col min="7" max="7" width="2.90625" style="2" customWidth="1"/>
    <col min="8" max="8" width="1.08984375" style="2" customWidth="1"/>
    <col min="9" max="9" width="8.90625" style="2"/>
    <col min="10" max="10" width="2.90625" style="2" customWidth="1"/>
    <col min="11" max="11" width="9.08984375" style="2" customWidth="1"/>
    <col min="12" max="12" width="1.7265625" style="2" customWidth="1"/>
    <col min="13" max="13" width="1.08984375" style="2" customWidth="1"/>
    <col min="14" max="14" width="8.90625" style="2"/>
    <col min="15" max="15" width="4.08984375" style="2" customWidth="1"/>
    <col min="16" max="16384" width="8.90625" style="2"/>
  </cols>
  <sheetData>
    <row r="1" spans="1:15" ht="34.9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3.1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1</v>
      </c>
      <c r="M2" s="4"/>
      <c r="N2" s="4"/>
      <c r="O2" s="4"/>
    </row>
    <row r="3" spans="1:1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 t="s">
        <v>2</v>
      </c>
      <c r="O3" s="4"/>
    </row>
    <row r="4" spans="1:15" ht="7.9" customHeight="1" x14ac:dyDescent="0.3"/>
    <row r="5" spans="1:15" ht="14.5" thickBot="1" x14ac:dyDescent="0.35">
      <c r="A5" s="5" t="s">
        <v>3</v>
      </c>
      <c r="G5" s="6"/>
      <c r="M5" s="7"/>
      <c r="N5" s="7"/>
      <c r="O5" s="7"/>
    </row>
    <row r="6" spans="1:15" ht="14.5" thickBot="1" x14ac:dyDescent="0.35">
      <c r="A6" s="5" t="s">
        <v>4</v>
      </c>
      <c r="E6" s="8" t="s">
        <v>5</v>
      </c>
      <c r="G6" s="5" t="s">
        <v>6</v>
      </c>
      <c r="K6" s="9" t="s">
        <v>7</v>
      </c>
      <c r="L6" s="10"/>
      <c r="M6" s="10"/>
      <c r="N6" s="10"/>
      <c r="O6" s="11"/>
    </row>
    <row r="7" spans="1:15" ht="14.5" thickBot="1" x14ac:dyDescent="0.35">
      <c r="A7" s="5" t="s">
        <v>8</v>
      </c>
      <c r="C7" s="12" t="s">
        <v>9</v>
      </c>
      <c r="D7" s="13"/>
      <c r="G7" s="5" t="s">
        <v>10</v>
      </c>
      <c r="J7" s="12" t="s">
        <v>11</v>
      </c>
      <c r="K7" s="14"/>
      <c r="L7" s="14"/>
      <c r="M7" s="14"/>
      <c r="N7" s="14"/>
      <c r="O7" s="13"/>
    </row>
    <row r="10" spans="1:15" ht="15.5" x14ac:dyDescent="0.35">
      <c r="A10" s="15" t="s">
        <v>12</v>
      </c>
      <c r="B10" s="15" t="s">
        <v>13</v>
      </c>
      <c r="C10" s="15"/>
      <c r="D10" s="15"/>
      <c r="E10" s="15"/>
    </row>
    <row r="11" spans="1:15" ht="16" thickBot="1" x14ac:dyDescent="0.4">
      <c r="A11" s="15"/>
      <c r="B11" s="16" t="s">
        <v>14</v>
      </c>
      <c r="C11" s="15"/>
      <c r="D11" s="15"/>
      <c r="E11" s="15"/>
    </row>
    <row r="12" spans="1:15" ht="15" customHeight="1" thickBot="1" x14ac:dyDescent="0.4">
      <c r="A12" s="15"/>
      <c r="B12" s="15"/>
      <c r="C12" s="16" t="s">
        <v>15</v>
      </c>
      <c r="D12" s="15"/>
      <c r="E12" s="15"/>
      <c r="G12" s="12" t="s">
        <v>16</v>
      </c>
      <c r="H12" s="14"/>
      <c r="I12" s="14"/>
      <c r="J12" s="14"/>
      <c r="K12" s="14"/>
      <c r="L12" s="14"/>
      <c r="M12" s="14"/>
      <c r="N12" s="14"/>
      <c r="O12" s="13"/>
    </row>
    <row r="13" spans="1:15" ht="16" thickBot="1" x14ac:dyDescent="0.4">
      <c r="A13" s="15"/>
      <c r="B13" s="15"/>
      <c r="C13" s="16" t="s">
        <v>17</v>
      </c>
      <c r="D13" s="15"/>
      <c r="E13" s="15"/>
      <c r="G13" s="12" t="s">
        <v>18</v>
      </c>
      <c r="H13" s="14"/>
      <c r="I13" s="14"/>
      <c r="J13" s="14"/>
      <c r="K13" s="14"/>
      <c r="L13" s="14"/>
      <c r="M13" s="14"/>
      <c r="N13" s="14"/>
      <c r="O13" s="13"/>
    </row>
    <row r="14" spans="1:15" ht="6" customHeight="1" thickBot="1" x14ac:dyDescent="0.4">
      <c r="A14" s="15"/>
      <c r="B14" s="15"/>
      <c r="C14" s="15"/>
      <c r="D14" s="15"/>
      <c r="E14" s="15"/>
      <c r="G14" s="17"/>
      <c r="H14" s="17"/>
      <c r="I14" s="17"/>
      <c r="J14" s="17"/>
      <c r="K14" s="17"/>
      <c r="L14" s="17"/>
      <c r="M14" s="17"/>
      <c r="N14" s="17"/>
    </row>
    <row r="15" spans="1:15" ht="16" thickBot="1" x14ac:dyDescent="0.4">
      <c r="A15" s="15" t="s">
        <v>19</v>
      </c>
      <c r="B15" s="15" t="s">
        <v>20</v>
      </c>
      <c r="C15" s="15"/>
      <c r="D15" s="15"/>
      <c r="E15" s="15"/>
      <c r="G15" s="12" t="s">
        <v>21</v>
      </c>
      <c r="H15" s="14"/>
      <c r="I15" s="14"/>
      <c r="J15" s="14"/>
      <c r="K15" s="14"/>
      <c r="L15" s="14"/>
      <c r="M15" s="14"/>
      <c r="N15" s="14"/>
      <c r="O15" s="13"/>
    </row>
    <row r="16" spans="1:15" ht="7.15" customHeight="1" thickBot="1" x14ac:dyDescent="0.4">
      <c r="A16" s="15"/>
      <c r="B16" s="15"/>
      <c r="C16" s="15"/>
      <c r="D16" s="15"/>
      <c r="E16" s="15"/>
    </row>
    <row r="17" spans="1:15" ht="17.5" customHeight="1" thickBot="1" x14ac:dyDescent="0.4">
      <c r="A17" s="15" t="s">
        <v>22</v>
      </c>
      <c r="B17" s="15" t="s">
        <v>23</v>
      </c>
      <c r="C17" s="15"/>
      <c r="D17" s="15"/>
      <c r="E17" s="15"/>
      <c r="G17" s="18" t="s">
        <v>24</v>
      </c>
      <c r="H17" s="19"/>
      <c r="I17" s="19"/>
      <c r="J17" s="19"/>
      <c r="K17" s="19"/>
      <c r="L17" s="19"/>
      <c r="M17" s="19"/>
      <c r="N17" s="20"/>
    </row>
    <row r="18" spans="1:15" ht="13.9" customHeight="1" thickBot="1" x14ac:dyDescent="0.4">
      <c r="A18" s="15"/>
      <c r="B18" s="15"/>
      <c r="C18" s="15"/>
      <c r="D18" s="15"/>
      <c r="E18" s="15"/>
      <c r="G18" s="2" t="s">
        <v>25</v>
      </c>
      <c r="I18" s="21"/>
      <c r="J18" s="21"/>
      <c r="K18" s="21"/>
      <c r="L18" s="21"/>
      <c r="M18" s="21"/>
      <c r="N18" s="21"/>
      <c r="O18" s="21"/>
    </row>
    <row r="19" spans="1:15" ht="61.15" customHeight="1" thickBot="1" x14ac:dyDescent="0.4">
      <c r="A19" s="15"/>
      <c r="B19" s="15"/>
      <c r="C19" s="15"/>
      <c r="D19" s="15"/>
      <c r="E19" s="15"/>
      <c r="G19" s="18"/>
      <c r="H19" s="19"/>
      <c r="I19" s="19"/>
      <c r="J19" s="19"/>
      <c r="K19" s="19"/>
      <c r="L19" s="19"/>
      <c r="M19" s="19"/>
      <c r="N19" s="19"/>
      <c r="O19" s="20"/>
    </row>
    <row r="20" spans="1:15" ht="6" customHeight="1" thickBot="1" x14ac:dyDescent="0.4">
      <c r="A20" s="15"/>
      <c r="B20" s="15"/>
      <c r="C20" s="15"/>
      <c r="D20" s="15"/>
      <c r="E20" s="15"/>
    </row>
    <row r="21" spans="1:15" ht="15" customHeight="1" thickBot="1" x14ac:dyDescent="0.4">
      <c r="A21" s="15" t="s">
        <v>26</v>
      </c>
      <c r="B21" s="15" t="s">
        <v>27</v>
      </c>
      <c r="C21" s="15"/>
      <c r="D21" s="15"/>
      <c r="E21" s="15"/>
      <c r="G21" s="18" t="s">
        <v>28</v>
      </c>
      <c r="H21" s="19"/>
      <c r="I21" s="19"/>
      <c r="J21" s="19"/>
      <c r="K21" s="19"/>
      <c r="L21" s="19"/>
      <c r="M21" s="19"/>
      <c r="N21" s="20"/>
    </row>
    <row r="22" spans="1:15" ht="7.15" customHeight="1" thickBot="1" x14ac:dyDescent="0.4">
      <c r="A22" s="15"/>
      <c r="B22" s="15"/>
      <c r="C22" s="15"/>
      <c r="D22" s="15"/>
      <c r="E22" s="15"/>
      <c r="G22" s="17"/>
      <c r="H22" s="17"/>
      <c r="I22" s="17"/>
      <c r="J22" s="17"/>
      <c r="K22" s="17"/>
      <c r="L22" s="17"/>
      <c r="M22" s="17"/>
      <c r="N22" s="17"/>
    </row>
    <row r="23" spans="1:15" ht="15" customHeight="1" thickBot="1" x14ac:dyDescent="0.4">
      <c r="A23" s="15" t="s">
        <v>29</v>
      </c>
      <c r="B23" s="15" t="s">
        <v>30</v>
      </c>
      <c r="C23" s="15"/>
      <c r="D23" s="15"/>
      <c r="E23" s="15"/>
      <c r="G23" s="18" t="s">
        <v>31</v>
      </c>
      <c r="H23" s="19"/>
      <c r="I23" s="19"/>
      <c r="J23" s="19"/>
      <c r="K23" s="19"/>
      <c r="L23" s="19"/>
      <c r="M23" s="19"/>
      <c r="N23" s="20"/>
      <c r="O23" s="2" t="s">
        <v>32</v>
      </c>
    </row>
    <row r="24" spans="1:15" customFormat="1" ht="15" customHeight="1" thickBot="1" x14ac:dyDescent="0.4">
      <c r="A24" s="15"/>
      <c r="B24" s="15"/>
      <c r="C24" s="15"/>
      <c r="D24" s="15"/>
      <c r="E24" s="15"/>
      <c r="F24" s="2"/>
      <c r="G24" s="2" t="s">
        <v>25</v>
      </c>
      <c r="H24" s="2"/>
      <c r="I24" s="21"/>
      <c r="J24" s="21"/>
      <c r="K24" s="21"/>
      <c r="L24" s="21"/>
      <c r="M24" s="21"/>
      <c r="N24" s="21"/>
      <c r="O24" s="21"/>
    </row>
    <row r="25" spans="1:15" customFormat="1" ht="54" customHeight="1" thickBot="1" x14ac:dyDescent="0.4">
      <c r="A25" s="15"/>
      <c r="B25" s="15"/>
      <c r="C25" s="15"/>
      <c r="D25" s="15"/>
      <c r="E25" s="15"/>
      <c r="F25" s="2"/>
      <c r="G25" s="18"/>
      <c r="H25" s="19"/>
      <c r="I25" s="19"/>
      <c r="J25" s="19"/>
      <c r="K25" s="19"/>
      <c r="L25" s="19"/>
      <c r="M25" s="19"/>
      <c r="N25" s="19"/>
      <c r="O25" s="20"/>
    </row>
    <row r="26" spans="1:15" ht="5.5" customHeight="1" thickBot="1" x14ac:dyDescent="0.4">
      <c r="A26" s="15"/>
      <c r="B26" s="15"/>
      <c r="C26" s="15"/>
      <c r="D26" s="15"/>
      <c r="E26" s="15"/>
      <c r="G26" s="17"/>
      <c r="H26" s="17"/>
      <c r="I26" s="17"/>
      <c r="J26" s="17"/>
      <c r="K26" s="17"/>
      <c r="L26" s="17"/>
      <c r="M26" s="17"/>
      <c r="N26" s="17"/>
    </row>
    <row r="27" spans="1:15" ht="15" customHeight="1" thickBot="1" x14ac:dyDescent="0.4">
      <c r="A27" s="15" t="s">
        <v>33</v>
      </c>
      <c r="B27" s="15" t="s">
        <v>34</v>
      </c>
      <c r="C27" s="15"/>
      <c r="D27" s="15"/>
      <c r="E27" s="15"/>
      <c r="G27" s="12">
        <v>150</v>
      </c>
      <c r="H27" s="14"/>
      <c r="I27" s="14"/>
      <c r="J27" s="14"/>
      <c r="K27" s="13"/>
      <c r="L27" s="2" t="s">
        <v>32</v>
      </c>
    </row>
    <row r="28" spans="1:15" ht="7.15" customHeight="1" thickBot="1" x14ac:dyDescent="0.4">
      <c r="A28" s="15"/>
      <c r="B28" s="15"/>
      <c r="C28" s="15"/>
      <c r="D28" s="15"/>
      <c r="E28" s="15"/>
      <c r="G28" s="17"/>
      <c r="H28" s="17"/>
      <c r="I28" s="17"/>
      <c r="J28" s="17"/>
      <c r="K28" s="17"/>
      <c r="L28" s="17"/>
      <c r="M28" s="17"/>
    </row>
    <row r="29" spans="1:15" ht="15" customHeight="1" thickBot="1" x14ac:dyDescent="0.4">
      <c r="A29" s="15" t="s">
        <v>35</v>
      </c>
      <c r="B29" s="15" t="s">
        <v>36</v>
      </c>
      <c r="C29" s="15"/>
      <c r="D29" s="15"/>
      <c r="E29" s="15"/>
      <c r="G29" s="12">
        <v>65</v>
      </c>
      <c r="H29" s="14"/>
      <c r="I29" s="13"/>
      <c r="J29" s="17" t="s">
        <v>32</v>
      </c>
      <c r="K29" s="22">
        <v>1</v>
      </c>
      <c r="L29" s="21" t="s">
        <v>37</v>
      </c>
      <c r="M29" s="21"/>
    </row>
    <row r="30" spans="1:15" ht="6" customHeight="1" thickBot="1" x14ac:dyDescent="0.4">
      <c r="A30" s="15"/>
      <c r="B30" s="15"/>
      <c r="C30" s="15"/>
      <c r="D30" s="15"/>
      <c r="E30" s="15"/>
      <c r="G30" s="17"/>
      <c r="H30" s="17"/>
      <c r="I30" s="17"/>
      <c r="J30" s="17"/>
      <c r="K30" s="17"/>
      <c r="L30" s="17"/>
      <c r="M30" s="17"/>
    </row>
    <row r="31" spans="1:15" ht="15" customHeight="1" thickBot="1" x14ac:dyDescent="0.4">
      <c r="A31" s="15" t="s">
        <v>38</v>
      </c>
      <c r="B31" s="15" t="s">
        <v>39</v>
      </c>
      <c r="C31" s="15"/>
      <c r="D31" s="15"/>
      <c r="E31" s="15"/>
      <c r="G31" s="12">
        <v>21.5</v>
      </c>
      <c r="H31" s="14"/>
      <c r="I31" s="14"/>
      <c r="J31" s="14"/>
      <c r="K31" s="13"/>
      <c r="L31" s="21" t="s">
        <v>32</v>
      </c>
      <c r="M31" s="21"/>
    </row>
    <row r="32" spans="1:15" ht="7.15" customHeight="1" thickBot="1" x14ac:dyDescent="0.4">
      <c r="A32" s="15"/>
      <c r="B32" s="15"/>
      <c r="C32" s="15"/>
      <c r="D32" s="15"/>
      <c r="E32" s="15"/>
      <c r="G32" s="17"/>
      <c r="H32" s="17"/>
      <c r="I32" s="17"/>
      <c r="J32" s="17"/>
      <c r="K32" s="17"/>
      <c r="L32" s="17"/>
      <c r="M32" s="17"/>
      <c r="N32" s="17"/>
    </row>
    <row r="33" spans="1:15" ht="15" customHeight="1" thickBot="1" x14ac:dyDescent="0.4">
      <c r="A33" s="15" t="s">
        <v>40</v>
      </c>
      <c r="B33" s="15" t="s">
        <v>41</v>
      </c>
      <c r="C33" s="15"/>
      <c r="D33" s="15"/>
      <c r="E33" s="15"/>
      <c r="G33" s="18" t="s">
        <v>42</v>
      </c>
      <c r="H33" s="19"/>
      <c r="I33" s="19"/>
      <c r="J33" s="19"/>
      <c r="K33" s="19"/>
      <c r="L33" s="19"/>
      <c r="M33" s="19"/>
      <c r="N33" s="20"/>
    </row>
    <row r="34" spans="1:15" ht="15" customHeight="1" thickBot="1" x14ac:dyDescent="0.4">
      <c r="A34" s="15"/>
      <c r="B34" s="15"/>
      <c r="C34" s="15"/>
      <c r="D34" s="15"/>
      <c r="E34" s="15"/>
      <c r="G34" s="2" t="s">
        <v>25</v>
      </c>
      <c r="I34" s="21"/>
      <c r="J34" s="21"/>
      <c r="K34" s="21"/>
      <c r="L34" s="21"/>
      <c r="M34" s="21"/>
      <c r="N34" s="21"/>
      <c r="O34" s="21"/>
    </row>
    <row r="35" spans="1:15" ht="50.5" customHeight="1" thickBot="1" x14ac:dyDescent="0.4">
      <c r="A35" s="15"/>
      <c r="B35" s="15"/>
      <c r="C35" s="15"/>
      <c r="D35" s="15"/>
      <c r="E35" s="15"/>
      <c r="G35" s="18"/>
      <c r="H35" s="19"/>
      <c r="I35" s="19"/>
      <c r="J35" s="19"/>
      <c r="K35" s="19"/>
      <c r="L35" s="19"/>
      <c r="M35" s="19"/>
      <c r="N35" s="19"/>
      <c r="O35" s="20"/>
    </row>
    <row r="36" spans="1:15" ht="7.15" customHeight="1" thickBot="1" x14ac:dyDescent="0.4">
      <c r="A36" s="15"/>
      <c r="B36" s="15"/>
      <c r="C36" s="15"/>
      <c r="D36" s="15"/>
      <c r="E36" s="15"/>
      <c r="G36" s="17"/>
      <c r="H36" s="17"/>
      <c r="I36" s="17"/>
      <c r="J36" s="17"/>
      <c r="K36" s="17"/>
      <c r="L36" s="17"/>
      <c r="M36" s="17"/>
      <c r="N36" s="17"/>
    </row>
    <row r="37" spans="1:15" ht="15" customHeight="1" thickBot="1" x14ac:dyDescent="0.4">
      <c r="A37" s="15" t="s">
        <v>43</v>
      </c>
      <c r="B37" s="15" t="s">
        <v>44</v>
      </c>
      <c r="C37" s="15"/>
      <c r="D37" s="15"/>
      <c r="E37" s="15"/>
      <c r="G37" s="18" t="s">
        <v>45</v>
      </c>
      <c r="H37" s="19"/>
      <c r="I37" s="19"/>
      <c r="J37" s="19"/>
      <c r="K37" s="19"/>
      <c r="L37" s="19"/>
      <c r="M37" s="19"/>
      <c r="N37" s="20"/>
    </row>
    <row r="38" spans="1:15" ht="15" customHeight="1" thickBot="1" x14ac:dyDescent="0.4">
      <c r="A38" s="15"/>
      <c r="B38" s="15"/>
      <c r="C38" s="15"/>
      <c r="D38" s="15"/>
      <c r="E38" s="15"/>
      <c r="G38" s="2" t="s">
        <v>25</v>
      </c>
      <c r="I38" s="21"/>
      <c r="J38" s="21"/>
      <c r="K38" s="21"/>
      <c r="L38" s="21"/>
      <c r="M38" s="21"/>
      <c r="N38" s="21"/>
      <c r="O38" s="21"/>
    </row>
    <row r="39" spans="1:15" ht="53.5" customHeight="1" thickBot="1" x14ac:dyDescent="0.4">
      <c r="A39" s="15"/>
      <c r="B39" s="15"/>
      <c r="C39" s="15"/>
      <c r="D39" s="15"/>
      <c r="E39" s="15"/>
      <c r="G39" s="18"/>
      <c r="H39" s="19"/>
      <c r="I39" s="19"/>
      <c r="J39" s="19"/>
      <c r="K39" s="19"/>
      <c r="L39" s="19"/>
      <c r="M39" s="19"/>
      <c r="N39" s="19"/>
      <c r="O39" s="20"/>
    </row>
    <row r="40" spans="1:15" ht="15" customHeight="1" thickBot="1" x14ac:dyDescent="0.4">
      <c r="A40" s="15" t="s">
        <v>46</v>
      </c>
      <c r="B40" s="15" t="s">
        <v>47</v>
      </c>
      <c r="C40" s="15"/>
      <c r="D40" s="15"/>
      <c r="E40" s="15"/>
      <c r="G40" s="17"/>
      <c r="H40" s="17"/>
      <c r="I40" s="17"/>
      <c r="J40" s="17"/>
      <c r="K40" s="17"/>
      <c r="L40" s="17"/>
      <c r="M40" s="17"/>
      <c r="N40" s="17"/>
    </row>
    <row r="41" spans="1:15" ht="15" customHeight="1" thickBot="1" x14ac:dyDescent="0.4">
      <c r="A41" s="15"/>
      <c r="B41" s="15"/>
      <c r="C41" s="16" t="s">
        <v>48</v>
      </c>
      <c r="D41" s="15"/>
      <c r="E41" s="15"/>
      <c r="G41" s="2" t="s">
        <v>49</v>
      </c>
      <c r="I41" s="8">
        <v>35</v>
      </c>
      <c r="J41" s="2" t="s">
        <v>50</v>
      </c>
      <c r="K41" s="17"/>
      <c r="L41" s="23" t="s">
        <v>51</v>
      </c>
      <c r="M41" s="17"/>
      <c r="N41" s="8">
        <v>95</v>
      </c>
      <c r="O41" s="2" t="s">
        <v>50</v>
      </c>
    </row>
    <row r="42" spans="1:15" ht="15" customHeight="1" thickBot="1" x14ac:dyDescent="0.4">
      <c r="A42" s="15"/>
      <c r="B42" s="15"/>
      <c r="C42" s="16" t="s">
        <v>52</v>
      </c>
      <c r="D42" s="15"/>
      <c r="E42" s="15"/>
      <c r="G42" s="2" t="s">
        <v>49</v>
      </c>
      <c r="I42" s="24">
        <v>16</v>
      </c>
      <c r="J42" s="2" t="s">
        <v>53</v>
      </c>
      <c r="K42" s="17"/>
      <c r="L42" s="23" t="s">
        <v>51</v>
      </c>
      <c r="M42" s="17"/>
      <c r="N42" s="8">
        <v>28</v>
      </c>
      <c r="O42" s="2" t="s">
        <v>53</v>
      </c>
    </row>
    <row r="43" spans="1:15" ht="15" customHeight="1" x14ac:dyDescent="0.3">
      <c r="G43" s="17"/>
      <c r="H43" s="17"/>
      <c r="I43" s="17"/>
      <c r="J43" s="17"/>
      <c r="K43" s="17"/>
      <c r="L43" s="17"/>
      <c r="M43" s="17"/>
      <c r="N43" s="17"/>
    </row>
    <row r="44" spans="1:15" ht="15" customHeight="1" x14ac:dyDescent="0.3">
      <c r="G44" s="17"/>
      <c r="H44" s="17"/>
      <c r="I44" s="17"/>
      <c r="J44" s="17"/>
      <c r="K44" s="17"/>
      <c r="L44" s="17"/>
      <c r="M44" s="17"/>
      <c r="N44" s="17"/>
    </row>
    <row r="45" spans="1:15" ht="15" customHeight="1" x14ac:dyDescent="0.3">
      <c r="G45" s="17"/>
      <c r="H45" s="17"/>
      <c r="I45" s="17"/>
      <c r="J45" s="17"/>
      <c r="K45" s="17"/>
      <c r="L45" s="17"/>
      <c r="M45" s="17"/>
      <c r="N45" s="17"/>
    </row>
    <row r="46" spans="1:15" ht="15" customHeight="1" x14ac:dyDescent="0.3">
      <c r="G46" s="17"/>
      <c r="H46" s="17"/>
      <c r="I46" s="17"/>
      <c r="J46" s="17"/>
      <c r="K46" s="17"/>
      <c r="L46" s="17"/>
      <c r="M46" s="17"/>
      <c r="N46" s="17"/>
    </row>
    <row r="47" spans="1:15" x14ac:dyDescent="0.3">
      <c r="H47" s="25"/>
    </row>
    <row r="48" spans="1:15" x14ac:dyDescent="0.3">
      <c r="H48" s="25"/>
      <c r="I48" s="25"/>
      <c r="J48" s="25"/>
      <c r="K48" s="25"/>
      <c r="L48" s="25"/>
      <c r="M48" s="25"/>
      <c r="N48" s="25"/>
    </row>
    <row r="49" spans="2:14" ht="15" customHeight="1" x14ac:dyDescent="0.3">
      <c r="B49" s="21"/>
      <c r="H49" s="23"/>
    </row>
    <row r="50" spans="2:14" x14ac:dyDescent="0.3">
      <c r="B50" s="21"/>
      <c r="H50" s="26"/>
      <c r="J50" s="26"/>
      <c r="K50" s="26"/>
      <c r="L50" s="26"/>
      <c r="M50" s="26"/>
      <c r="N50" s="26"/>
    </row>
    <row r="51" spans="2:14" ht="14.5" customHeight="1" x14ac:dyDescent="0.3">
      <c r="B51" s="21"/>
      <c r="H51" s="26"/>
      <c r="J51" s="26"/>
      <c r="K51" s="26"/>
      <c r="L51" s="26"/>
      <c r="M51" s="26"/>
      <c r="N51" s="26"/>
    </row>
    <row r="52" spans="2:14" ht="14.5" hidden="1" customHeight="1" x14ac:dyDescent="0.3">
      <c r="B52" s="21" t="s">
        <v>24</v>
      </c>
      <c r="H52" s="26"/>
      <c r="J52" s="26"/>
      <c r="K52" s="26"/>
      <c r="L52" s="26"/>
      <c r="M52" s="26"/>
      <c r="N52" s="26"/>
    </row>
    <row r="53" spans="2:14" hidden="1" x14ac:dyDescent="0.3">
      <c r="B53" s="21" t="s">
        <v>54</v>
      </c>
    </row>
    <row r="54" spans="2:14" hidden="1" x14ac:dyDescent="0.3"/>
    <row r="55" spans="2:14" hidden="1" x14ac:dyDescent="0.3">
      <c r="H55" s="23"/>
    </row>
    <row r="56" spans="2:14" hidden="1" x14ac:dyDescent="0.3">
      <c r="B56" s="2" t="s">
        <v>55</v>
      </c>
    </row>
    <row r="57" spans="2:14" hidden="1" x14ac:dyDescent="0.3">
      <c r="B57" s="21" t="s">
        <v>56</v>
      </c>
    </row>
    <row r="58" spans="2:14" hidden="1" x14ac:dyDescent="0.3">
      <c r="B58" s="21"/>
    </row>
    <row r="59" spans="2:14" hidden="1" x14ac:dyDescent="0.3">
      <c r="B59" s="2" t="s">
        <v>45</v>
      </c>
    </row>
    <row r="60" spans="2:14" hidden="1" x14ac:dyDescent="0.3">
      <c r="B60" s="2" t="s">
        <v>57</v>
      </c>
    </row>
    <row r="61" spans="2:14" hidden="1" x14ac:dyDescent="0.3">
      <c r="B61" s="2" t="s">
        <v>58</v>
      </c>
    </row>
    <row r="62" spans="2:14" hidden="1" x14ac:dyDescent="0.3">
      <c r="B62" s="2" t="s">
        <v>54</v>
      </c>
    </row>
    <row r="63" spans="2:14" hidden="1" x14ac:dyDescent="0.3"/>
    <row r="64" spans="2:14" hidden="1" x14ac:dyDescent="0.3">
      <c r="B64" s="27" t="s">
        <v>59</v>
      </c>
    </row>
    <row r="65" spans="2:14" hidden="1" x14ac:dyDescent="0.3">
      <c r="B65" s="27" t="s">
        <v>42</v>
      </c>
    </row>
    <row r="66" spans="2:14" ht="15" hidden="1" customHeight="1" x14ac:dyDescent="0.3">
      <c r="B66" s="2" t="s">
        <v>60</v>
      </c>
      <c r="I66" s="2" t="s">
        <v>61</v>
      </c>
    </row>
    <row r="67" spans="2:14" hidden="1" x14ac:dyDescent="0.3">
      <c r="B67" s="2" t="s">
        <v>54</v>
      </c>
      <c r="I67" s="2" t="s">
        <v>31</v>
      </c>
    </row>
    <row r="68" spans="2:14" hidden="1" x14ac:dyDescent="0.3">
      <c r="I68" s="2" t="s">
        <v>62</v>
      </c>
    </row>
    <row r="69" spans="2:14" hidden="1" x14ac:dyDescent="0.3">
      <c r="I69" s="2" t="s">
        <v>54</v>
      </c>
    </row>
    <row r="70" spans="2:14" hidden="1" x14ac:dyDescent="0.3">
      <c r="B70" s="6" t="s">
        <v>63</v>
      </c>
    </row>
    <row r="71" spans="2:14" ht="48" customHeight="1" x14ac:dyDescent="0.3"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4" ht="27.65" customHeight="1" x14ac:dyDescent="0.3">
      <c r="B72" s="28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</sheetData>
  <sheetProtection algorithmName="SHA-512" hashValue="UUM+SffAOFtmlq8Zq2pO2Z5D5NcXOU7Kz5qih/CfmATiSR9Z9ud0sMjGJQLOTImJmbsnJ+u4hZ1tQGflW1yDSg==" saltValue="yd7nhZEed/LtB2uiBvwjNw==" spinCount="100000" sheet="1" objects="1" scenarios="1" formatColumns="0" formatRows="0"/>
  <mergeCells count="22">
    <mergeCell ref="G35:O35"/>
    <mergeCell ref="G37:N37"/>
    <mergeCell ref="G39:O39"/>
    <mergeCell ref="G23:N23"/>
    <mergeCell ref="G25:O25"/>
    <mergeCell ref="G27:K27"/>
    <mergeCell ref="G29:I29"/>
    <mergeCell ref="G31:K31"/>
    <mergeCell ref="G33:N33"/>
    <mergeCell ref="G12:O12"/>
    <mergeCell ref="G13:O13"/>
    <mergeCell ref="G15:O15"/>
    <mergeCell ref="G17:N17"/>
    <mergeCell ref="G19:O19"/>
    <mergeCell ref="G21:N21"/>
    <mergeCell ref="A1:O1"/>
    <mergeCell ref="L2:O2"/>
    <mergeCell ref="N3:O3"/>
    <mergeCell ref="M5:O5"/>
    <mergeCell ref="K6:O6"/>
    <mergeCell ref="C7:D7"/>
    <mergeCell ref="J7:O7"/>
  </mergeCells>
  <conditionalFormatting sqref="A1 P1:XFD3 A2:L2 A3:N3 A4:XFD22 P23:XFD23 A26:XFD48 A49:H58 J49:XFD58 A59:XFD59 A60:H63 J60:XFD63">
    <cfRule type="expression" dxfId="110" priority="11">
      <formula>CELL("protect",INDIRECT(ADDRESS(ROW(),COLUMN())))=0</formula>
    </cfRule>
  </conditionalFormatting>
  <conditionalFormatting sqref="A23:N23">
    <cfRule type="expression" dxfId="109" priority="2">
      <formula>CELL("protect",INDIRECT(ADDRESS(ROW(),COLUMN())))=0</formula>
    </cfRule>
  </conditionalFormatting>
  <conditionalFormatting sqref="A64:XFD1048576">
    <cfRule type="expression" dxfId="108" priority="3">
      <formula>CELL("protect",INDIRECT(ADDRESS(ROW(),COLUMN())))=0</formula>
    </cfRule>
  </conditionalFormatting>
  <conditionalFormatting sqref="G17:N17">
    <cfRule type="expression" dxfId="107" priority="9">
      <formula>CELL("protect",INDIRECT(ADDRESS(ROW(),COLUMN())))=0</formula>
    </cfRule>
  </conditionalFormatting>
  <conditionalFormatting sqref="G21:N21">
    <cfRule type="expression" dxfId="106" priority="8">
      <formula>CELL("protect",INDIRECT(ADDRESS(ROW(),COLUMN())))=0</formula>
    </cfRule>
  </conditionalFormatting>
  <conditionalFormatting sqref="G37:N37">
    <cfRule type="expression" dxfId="105" priority="7">
      <formula>CELL("protect",INDIRECT(ADDRESS(ROW(),COLUMN())))=0</formula>
    </cfRule>
  </conditionalFormatting>
  <conditionalFormatting sqref="G18:O19">
    <cfRule type="expression" dxfId="104" priority="10">
      <formula>CELL("protect",INDIRECT(ADDRESS(ROW(),COLUMN())))=0</formula>
    </cfRule>
  </conditionalFormatting>
  <conditionalFormatting sqref="G24:O25">
    <cfRule type="expression" dxfId="103" priority="1">
      <formula>CELL("protect",INDIRECT(ADDRESS(ROW(),COLUMN())))=0</formula>
    </cfRule>
  </conditionalFormatting>
  <conditionalFormatting sqref="G33:O35">
    <cfRule type="expression" dxfId="102" priority="5">
      <formula>CELL("protect",INDIRECT(ADDRESS(ROW(),COLUMN())))=0</formula>
    </cfRule>
  </conditionalFormatting>
  <conditionalFormatting sqref="G38:O39">
    <cfRule type="expression" dxfId="101" priority="6">
      <formula>CELL("protect",INDIRECT(ADDRESS(ROW(),COLUMN())))=0</formula>
    </cfRule>
  </conditionalFormatting>
  <conditionalFormatting sqref="I56:I64">
    <cfRule type="expression" dxfId="100" priority="4">
      <formula>CELL("protect",INDIRECT(ADDRESS(ROW(),COLUMN())))=0</formula>
    </cfRule>
  </conditionalFormatting>
  <dataValidations count="4">
    <dataValidation type="list" allowBlank="1" showInputMessage="1" showErrorMessage="1" sqref="G17:N17" xr:uid="{ACAA844F-74DC-4A5A-A0B1-03D9EE53F8FE}">
      <formula1>$B$52:$B$53</formula1>
    </dataValidation>
    <dataValidation type="list" allowBlank="1" showInputMessage="1" showErrorMessage="1" sqref="G23:N23" xr:uid="{94D84454-45CE-407C-AC51-34BA64286234}">
      <formula1>$I$66:$I$69</formula1>
    </dataValidation>
    <dataValidation type="list" allowBlank="1" showInputMessage="1" showErrorMessage="1" sqref="G33:N33" xr:uid="{DE5A6FE1-78B9-4485-89F2-B0BE569412C8}">
      <formula1>$B$64:$B$67</formula1>
    </dataValidation>
    <dataValidation type="list" allowBlank="1" showInputMessage="1" showErrorMessage="1" sqref="G37:N37" xr:uid="{BE9B68EE-6119-4ACD-A38D-C0AAB3630646}">
      <formula1>$B$59:$B$62</formula1>
    </dataValidation>
  </dataValidations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&amp;C- Part 2-C25- (Rev.1)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7AFF-EB55-4E9E-8F38-7E9DB8C733E4}">
  <dimension ref="A1:O72"/>
  <sheetViews>
    <sheetView view="pageBreakPreview" topLeftCell="A31" zoomScale="85" zoomScaleNormal="85" zoomScaleSheetLayoutView="85" workbookViewId="0">
      <selection activeCell="H46" sqref="H46:U46"/>
    </sheetView>
  </sheetViews>
  <sheetFormatPr defaultColWidth="8.90625" defaultRowHeight="13" x14ac:dyDescent="0.3"/>
  <cols>
    <col min="1" max="1" width="2.26953125" style="30" customWidth="1"/>
    <col min="2" max="3" width="8.90625" style="30"/>
    <col min="4" max="4" width="20.6328125" style="30" customWidth="1"/>
    <col min="5" max="5" width="24.08984375" style="30" customWidth="1"/>
    <col min="6" max="6" width="1.36328125" style="30" customWidth="1"/>
    <col min="7" max="7" width="2.90625" style="30" customWidth="1"/>
    <col min="8" max="8" width="1.08984375" style="30" customWidth="1"/>
    <col min="9" max="9" width="8.90625" style="30"/>
    <col min="10" max="10" width="2.90625" style="30" customWidth="1"/>
    <col min="11" max="11" width="9.08984375" style="30" customWidth="1"/>
    <col min="12" max="12" width="1.7265625" style="30" customWidth="1"/>
    <col min="13" max="13" width="1.08984375" style="30" customWidth="1"/>
    <col min="14" max="14" width="8.90625" style="30"/>
    <col min="15" max="15" width="4.08984375" style="30" customWidth="1"/>
    <col min="16" max="16384" width="8.90625" style="30"/>
  </cols>
  <sheetData>
    <row r="1" spans="1:15" ht="34.9" customHeigh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3.15" customHeigh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2" t="s">
        <v>1</v>
      </c>
      <c r="M2" s="32"/>
      <c r="N2" s="32"/>
      <c r="O2" s="32"/>
    </row>
    <row r="3" spans="1:15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 t="s">
        <v>2</v>
      </c>
      <c r="O3" s="32"/>
    </row>
    <row r="4" spans="1:15" ht="7.9" customHeight="1" x14ac:dyDescent="0.3"/>
    <row r="5" spans="1:15" ht="14.5" thickBot="1" x14ac:dyDescent="0.35">
      <c r="A5" s="33" t="s">
        <v>3</v>
      </c>
      <c r="G5" s="34"/>
      <c r="M5" s="35"/>
      <c r="N5" s="35"/>
      <c r="O5" s="35"/>
    </row>
    <row r="6" spans="1:15" ht="14.5" thickBot="1" x14ac:dyDescent="0.35">
      <c r="A6" s="33" t="s">
        <v>4</v>
      </c>
      <c r="E6" s="36" t="s">
        <v>5</v>
      </c>
      <c r="G6" s="33" t="s">
        <v>6</v>
      </c>
      <c r="K6" s="37" t="s">
        <v>7</v>
      </c>
      <c r="L6" s="38"/>
      <c r="M6" s="38"/>
      <c r="N6" s="38"/>
      <c r="O6" s="39"/>
    </row>
    <row r="7" spans="1:15" ht="18.5" customHeight="1" thickBot="1" x14ac:dyDescent="0.35">
      <c r="A7" s="33" t="s">
        <v>8</v>
      </c>
      <c r="C7" s="40" t="s">
        <v>9</v>
      </c>
      <c r="D7" s="41"/>
      <c r="G7" s="33" t="s">
        <v>10</v>
      </c>
      <c r="J7" s="40" t="s">
        <v>11</v>
      </c>
      <c r="K7" s="42"/>
      <c r="L7" s="42"/>
      <c r="M7" s="42"/>
      <c r="N7" s="42"/>
      <c r="O7" s="41"/>
    </row>
    <row r="10" spans="1:15" ht="15.5" x14ac:dyDescent="0.35">
      <c r="A10" s="43" t="s">
        <v>12</v>
      </c>
      <c r="B10" s="43" t="s">
        <v>13</v>
      </c>
      <c r="C10" s="43"/>
      <c r="D10" s="43"/>
      <c r="E10" s="43"/>
    </row>
    <row r="11" spans="1:15" ht="16" thickBot="1" x14ac:dyDescent="0.4">
      <c r="A11" s="43"/>
      <c r="B11" s="44" t="s">
        <v>14</v>
      </c>
      <c r="C11" s="43"/>
      <c r="D11" s="43"/>
      <c r="E11" s="43"/>
    </row>
    <row r="12" spans="1:15" ht="15" customHeight="1" thickBot="1" x14ac:dyDescent="0.4">
      <c r="A12" s="43"/>
      <c r="B12" s="44"/>
      <c r="C12" s="44" t="s">
        <v>15</v>
      </c>
      <c r="D12" s="43"/>
      <c r="E12" s="43"/>
      <c r="G12" s="40" t="s">
        <v>64</v>
      </c>
      <c r="H12" s="42"/>
      <c r="I12" s="42"/>
      <c r="J12" s="42"/>
      <c r="K12" s="42"/>
      <c r="L12" s="42"/>
      <c r="M12" s="42"/>
      <c r="N12" s="42"/>
      <c r="O12" s="41"/>
    </row>
    <row r="13" spans="1:15" ht="16" thickBot="1" x14ac:dyDescent="0.4">
      <c r="A13" s="43"/>
      <c r="B13" s="44"/>
      <c r="C13" s="44" t="s">
        <v>17</v>
      </c>
      <c r="D13" s="43"/>
      <c r="E13" s="43"/>
      <c r="G13" s="40" t="s">
        <v>18</v>
      </c>
      <c r="H13" s="42"/>
      <c r="I13" s="42"/>
      <c r="J13" s="42"/>
      <c r="K13" s="42"/>
      <c r="L13" s="42"/>
      <c r="M13" s="42"/>
      <c r="N13" s="42"/>
      <c r="O13" s="41"/>
    </row>
    <row r="14" spans="1:15" ht="6" customHeight="1" thickBot="1" x14ac:dyDescent="0.4">
      <c r="A14" s="43"/>
      <c r="B14" s="44"/>
      <c r="C14" s="43"/>
      <c r="D14" s="43"/>
      <c r="E14" s="43"/>
      <c r="G14" s="45"/>
      <c r="H14" s="45"/>
      <c r="I14" s="45"/>
      <c r="J14" s="45"/>
      <c r="K14" s="45"/>
      <c r="L14" s="45"/>
      <c r="M14" s="45"/>
      <c r="N14" s="45"/>
    </row>
    <row r="15" spans="1:15" ht="16" thickBot="1" x14ac:dyDescent="0.4">
      <c r="A15" s="43" t="s">
        <v>19</v>
      </c>
      <c r="B15" s="43" t="s">
        <v>20</v>
      </c>
      <c r="C15" s="43"/>
      <c r="D15" s="43"/>
      <c r="E15" s="43"/>
      <c r="G15" s="40" t="s">
        <v>65</v>
      </c>
      <c r="H15" s="42"/>
      <c r="I15" s="42"/>
      <c r="J15" s="42"/>
      <c r="K15" s="42"/>
      <c r="L15" s="42"/>
      <c r="M15" s="42"/>
      <c r="N15" s="42"/>
      <c r="O15" s="41"/>
    </row>
    <row r="16" spans="1:15" ht="7.15" customHeight="1" thickBot="1" x14ac:dyDescent="0.4">
      <c r="A16" s="43"/>
      <c r="B16" s="43"/>
      <c r="C16" s="43"/>
      <c r="D16" s="43"/>
      <c r="E16" s="43"/>
    </row>
    <row r="17" spans="1:15" ht="17.5" customHeight="1" thickBot="1" x14ac:dyDescent="0.4">
      <c r="A17" s="43" t="s">
        <v>22</v>
      </c>
      <c r="B17" s="43" t="s">
        <v>23</v>
      </c>
      <c r="C17" s="43"/>
      <c r="D17" s="43"/>
      <c r="E17" s="43"/>
      <c r="G17" s="46" t="s">
        <v>24</v>
      </c>
      <c r="H17" s="47"/>
      <c r="I17" s="47"/>
      <c r="J17" s="47"/>
      <c r="K17" s="47"/>
      <c r="L17" s="47"/>
      <c r="M17" s="47"/>
      <c r="N17" s="48"/>
    </row>
    <row r="18" spans="1:15" ht="13.9" customHeight="1" thickBot="1" x14ac:dyDescent="0.4">
      <c r="A18" s="43"/>
      <c r="B18" s="43"/>
      <c r="C18" s="43"/>
      <c r="D18" s="43"/>
      <c r="E18" s="43"/>
      <c r="G18" s="30" t="s">
        <v>25</v>
      </c>
      <c r="I18" s="49"/>
      <c r="J18" s="49"/>
      <c r="K18" s="49"/>
      <c r="L18" s="49"/>
      <c r="M18" s="49"/>
      <c r="N18" s="49"/>
      <c r="O18" s="49"/>
    </row>
    <row r="19" spans="1:15" ht="61.15" customHeight="1" thickBot="1" x14ac:dyDescent="0.4">
      <c r="A19" s="43"/>
      <c r="B19" s="43"/>
      <c r="C19" s="43"/>
      <c r="D19" s="43"/>
      <c r="E19" s="43"/>
      <c r="G19" s="46"/>
      <c r="H19" s="47"/>
      <c r="I19" s="47"/>
      <c r="J19" s="47"/>
      <c r="K19" s="47"/>
      <c r="L19" s="47"/>
      <c r="M19" s="47"/>
      <c r="N19" s="47"/>
      <c r="O19" s="48"/>
    </row>
    <row r="20" spans="1:15" ht="6" customHeight="1" thickBot="1" x14ac:dyDescent="0.4">
      <c r="A20" s="43"/>
      <c r="B20" s="43"/>
      <c r="C20" s="43"/>
      <c r="D20" s="43"/>
      <c r="E20" s="43"/>
    </row>
    <row r="21" spans="1:15" ht="15" customHeight="1" thickBot="1" x14ac:dyDescent="0.4">
      <c r="A21" s="43" t="s">
        <v>26</v>
      </c>
      <c r="B21" s="43" t="s">
        <v>27</v>
      </c>
      <c r="C21" s="43"/>
      <c r="D21" s="43"/>
      <c r="E21" s="43"/>
      <c r="G21" s="46" t="s">
        <v>66</v>
      </c>
      <c r="H21" s="47"/>
      <c r="I21" s="47"/>
      <c r="J21" s="47"/>
      <c r="K21" s="47"/>
      <c r="L21" s="47"/>
      <c r="M21" s="47"/>
      <c r="N21" s="48"/>
    </row>
    <row r="22" spans="1:15" ht="7.15" customHeight="1" thickBot="1" x14ac:dyDescent="0.4">
      <c r="A22" s="43"/>
      <c r="B22" s="43"/>
      <c r="C22" s="43"/>
      <c r="D22" s="43"/>
      <c r="E22" s="43"/>
      <c r="G22" s="45"/>
      <c r="H22" s="45"/>
      <c r="I22" s="45"/>
      <c r="J22" s="45"/>
      <c r="K22" s="45"/>
      <c r="L22" s="45"/>
      <c r="M22" s="45"/>
      <c r="N22" s="45"/>
    </row>
    <row r="23" spans="1:15" ht="15" customHeight="1" thickBot="1" x14ac:dyDescent="0.4">
      <c r="A23" s="43" t="s">
        <v>29</v>
      </c>
      <c r="B23" s="43" t="s">
        <v>30</v>
      </c>
      <c r="C23" s="43"/>
      <c r="D23" s="43"/>
      <c r="E23" s="43"/>
      <c r="G23" s="46" t="s">
        <v>31</v>
      </c>
      <c r="H23" s="47"/>
      <c r="I23" s="47"/>
      <c r="J23" s="47"/>
      <c r="K23" s="47"/>
      <c r="L23" s="47"/>
      <c r="M23" s="47"/>
      <c r="N23" s="48"/>
      <c r="O23" s="30" t="s">
        <v>32</v>
      </c>
    </row>
    <row r="24" spans="1:15" s="50" customFormat="1" ht="15" customHeight="1" thickBot="1" x14ac:dyDescent="0.4">
      <c r="A24" s="43"/>
      <c r="B24" s="43"/>
      <c r="C24" s="43"/>
      <c r="D24" s="43"/>
      <c r="E24" s="43"/>
      <c r="F24" s="30"/>
      <c r="G24" s="30" t="s">
        <v>25</v>
      </c>
      <c r="H24" s="30"/>
      <c r="I24" s="49"/>
      <c r="J24" s="49"/>
      <c r="K24" s="49"/>
      <c r="L24" s="49"/>
      <c r="M24" s="49"/>
      <c r="N24" s="49"/>
      <c r="O24" s="49"/>
    </row>
    <row r="25" spans="1:15" s="50" customFormat="1" ht="54" customHeight="1" thickBot="1" x14ac:dyDescent="0.4">
      <c r="A25" s="43"/>
      <c r="B25" s="43"/>
      <c r="C25" s="43"/>
      <c r="D25" s="43"/>
      <c r="E25" s="43"/>
      <c r="F25" s="30"/>
      <c r="G25" s="46"/>
      <c r="H25" s="47"/>
      <c r="I25" s="47"/>
      <c r="J25" s="47"/>
      <c r="K25" s="47"/>
      <c r="L25" s="47"/>
      <c r="M25" s="47"/>
      <c r="N25" s="47"/>
      <c r="O25" s="48"/>
    </row>
    <row r="26" spans="1:15" ht="5.5" customHeight="1" thickBot="1" x14ac:dyDescent="0.4">
      <c r="A26" s="43"/>
      <c r="B26" s="43"/>
      <c r="C26" s="43"/>
      <c r="D26" s="43"/>
      <c r="E26" s="43"/>
      <c r="G26" s="45"/>
      <c r="H26" s="45"/>
      <c r="I26" s="45"/>
      <c r="J26" s="45"/>
      <c r="K26" s="45"/>
      <c r="L26" s="45"/>
      <c r="M26" s="45"/>
      <c r="N26" s="45"/>
    </row>
    <row r="27" spans="1:15" ht="15" customHeight="1" thickBot="1" x14ac:dyDescent="0.4">
      <c r="A27" s="43" t="s">
        <v>33</v>
      </c>
      <c r="B27" s="43" t="s">
        <v>34</v>
      </c>
      <c r="C27" s="43"/>
      <c r="D27" s="43"/>
      <c r="E27" s="43"/>
      <c r="G27" s="40">
        <v>150</v>
      </c>
      <c r="H27" s="42"/>
      <c r="I27" s="42"/>
      <c r="J27" s="42"/>
      <c r="K27" s="41"/>
      <c r="L27" s="30" t="s">
        <v>32</v>
      </c>
    </row>
    <row r="28" spans="1:15" ht="7.15" customHeight="1" thickBot="1" x14ac:dyDescent="0.4">
      <c r="A28" s="43"/>
      <c r="B28" s="43"/>
      <c r="C28" s="43"/>
      <c r="D28" s="43"/>
      <c r="E28" s="43"/>
      <c r="G28" s="45"/>
      <c r="H28" s="45"/>
      <c r="I28" s="45"/>
      <c r="J28" s="45"/>
      <c r="K28" s="45"/>
      <c r="L28" s="45"/>
      <c r="M28" s="45"/>
    </row>
    <row r="29" spans="1:15" ht="15" customHeight="1" thickBot="1" x14ac:dyDescent="0.4">
      <c r="A29" s="43" t="s">
        <v>35</v>
      </c>
      <c r="B29" s="43" t="s">
        <v>36</v>
      </c>
      <c r="C29" s="43"/>
      <c r="D29" s="43"/>
      <c r="E29" s="43"/>
      <c r="G29" s="40">
        <v>65</v>
      </c>
      <c r="H29" s="42"/>
      <c r="I29" s="41"/>
      <c r="J29" s="45" t="s">
        <v>32</v>
      </c>
      <c r="K29" s="51">
        <v>1</v>
      </c>
      <c r="L29" s="49" t="s">
        <v>37</v>
      </c>
      <c r="M29" s="49"/>
    </row>
    <row r="30" spans="1:15" ht="6" customHeight="1" thickBot="1" x14ac:dyDescent="0.4">
      <c r="A30" s="43"/>
      <c r="B30" s="43"/>
      <c r="C30" s="43"/>
      <c r="D30" s="43"/>
      <c r="E30" s="43"/>
      <c r="G30" s="45"/>
      <c r="H30" s="45"/>
      <c r="I30" s="45"/>
      <c r="J30" s="45"/>
      <c r="K30" s="45"/>
      <c r="L30" s="45"/>
      <c r="M30" s="45"/>
    </row>
    <row r="31" spans="1:15" ht="15" customHeight="1" thickBot="1" x14ac:dyDescent="0.4">
      <c r="A31" s="43" t="s">
        <v>38</v>
      </c>
      <c r="B31" s="43" t="s">
        <v>39</v>
      </c>
      <c r="C31" s="43"/>
      <c r="D31" s="43"/>
      <c r="E31" s="43"/>
      <c r="G31" s="40">
        <v>21.5</v>
      </c>
      <c r="H31" s="42"/>
      <c r="I31" s="42"/>
      <c r="J31" s="42"/>
      <c r="K31" s="41"/>
      <c r="L31" s="49" t="s">
        <v>32</v>
      </c>
      <c r="M31" s="49"/>
    </row>
    <row r="32" spans="1:15" ht="7.15" customHeight="1" thickBot="1" x14ac:dyDescent="0.4">
      <c r="A32" s="43"/>
      <c r="B32" s="43"/>
      <c r="C32" s="43"/>
      <c r="D32" s="43"/>
      <c r="E32" s="43"/>
      <c r="G32" s="45"/>
      <c r="H32" s="45"/>
      <c r="I32" s="45"/>
      <c r="J32" s="45"/>
      <c r="K32" s="45"/>
      <c r="L32" s="45"/>
      <c r="M32" s="45"/>
      <c r="N32" s="45"/>
    </row>
    <row r="33" spans="1:15" ht="15" customHeight="1" thickBot="1" x14ac:dyDescent="0.4">
      <c r="A33" s="43" t="s">
        <v>40</v>
      </c>
      <c r="B33" s="43" t="s">
        <v>41</v>
      </c>
      <c r="C33" s="43"/>
      <c r="D33" s="43"/>
      <c r="E33" s="43"/>
      <c r="G33" s="46" t="s">
        <v>42</v>
      </c>
      <c r="H33" s="47"/>
      <c r="I33" s="47"/>
      <c r="J33" s="47"/>
      <c r="K33" s="47"/>
      <c r="L33" s="47"/>
      <c r="M33" s="47"/>
      <c r="N33" s="48"/>
    </row>
    <row r="34" spans="1:15" ht="15" customHeight="1" thickBot="1" x14ac:dyDescent="0.4">
      <c r="A34" s="43"/>
      <c r="B34" s="43"/>
      <c r="C34" s="43"/>
      <c r="D34" s="43"/>
      <c r="E34" s="43"/>
      <c r="G34" s="30" t="s">
        <v>25</v>
      </c>
      <c r="I34" s="49"/>
      <c r="J34" s="49"/>
      <c r="K34" s="49"/>
      <c r="L34" s="49"/>
      <c r="M34" s="49"/>
      <c r="N34" s="49"/>
      <c r="O34" s="49"/>
    </row>
    <row r="35" spans="1:15" ht="50.5" customHeight="1" thickBot="1" x14ac:dyDescent="0.4">
      <c r="A35" s="43"/>
      <c r="B35" s="43"/>
      <c r="C35" s="43"/>
      <c r="D35" s="43"/>
      <c r="E35" s="43"/>
      <c r="G35" s="46"/>
      <c r="H35" s="47"/>
      <c r="I35" s="47"/>
      <c r="J35" s="47"/>
      <c r="K35" s="47"/>
      <c r="L35" s="47"/>
      <c r="M35" s="47"/>
      <c r="N35" s="47"/>
      <c r="O35" s="48"/>
    </row>
    <row r="36" spans="1:15" ht="7.15" customHeight="1" thickBot="1" x14ac:dyDescent="0.4">
      <c r="A36" s="43"/>
      <c r="B36" s="43"/>
      <c r="C36" s="43"/>
      <c r="D36" s="43"/>
      <c r="E36" s="43"/>
      <c r="G36" s="45"/>
      <c r="H36" s="45"/>
      <c r="I36" s="45"/>
      <c r="J36" s="45"/>
      <c r="K36" s="45"/>
      <c r="L36" s="45"/>
      <c r="M36" s="45"/>
      <c r="N36" s="45"/>
    </row>
    <row r="37" spans="1:15" ht="15" customHeight="1" thickBot="1" x14ac:dyDescent="0.4">
      <c r="A37" s="43" t="s">
        <v>43</v>
      </c>
      <c r="B37" s="43" t="s">
        <v>44</v>
      </c>
      <c r="C37" s="43"/>
      <c r="D37" s="43"/>
      <c r="E37" s="43"/>
      <c r="G37" s="46" t="s">
        <v>45</v>
      </c>
      <c r="H37" s="47"/>
      <c r="I37" s="47"/>
      <c r="J37" s="47"/>
      <c r="K37" s="47"/>
      <c r="L37" s="47"/>
      <c r="M37" s="47"/>
      <c r="N37" s="48"/>
    </row>
    <row r="38" spans="1:15" ht="15" customHeight="1" thickBot="1" x14ac:dyDescent="0.4">
      <c r="A38" s="43"/>
      <c r="B38" s="43"/>
      <c r="C38" s="43"/>
      <c r="D38" s="43"/>
      <c r="E38" s="43"/>
      <c r="G38" s="30" t="s">
        <v>25</v>
      </c>
      <c r="I38" s="49"/>
      <c r="J38" s="49"/>
      <c r="K38" s="49"/>
      <c r="L38" s="49"/>
      <c r="M38" s="49"/>
      <c r="N38" s="49"/>
      <c r="O38" s="49"/>
    </row>
    <row r="39" spans="1:15" ht="53.5" customHeight="1" thickBot="1" x14ac:dyDescent="0.4">
      <c r="A39" s="43"/>
      <c r="B39" s="43"/>
      <c r="C39" s="43"/>
      <c r="D39" s="43"/>
      <c r="E39" s="43"/>
      <c r="G39" s="46"/>
      <c r="H39" s="47"/>
      <c r="I39" s="47"/>
      <c r="J39" s="47"/>
      <c r="K39" s="47"/>
      <c r="L39" s="47"/>
      <c r="M39" s="47"/>
      <c r="N39" s="47"/>
      <c r="O39" s="48"/>
    </row>
    <row r="40" spans="1:15" ht="15" customHeight="1" thickBot="1" x14ac:dyDescent="0.4">
      <c r="A40" s="43" t="s">
        <v>46</v>
      </c>
      <c r="B40" s="43" t="s">
        <v>47</v>
      </c>
      <c r="C40" s="43"/>
      <c r="D40" s="43"/>
      <c r="E40" s="43"/>
      <c r="G40" s="45"/>
      <c r="H40" s="45"/>
      <c r="I40" s="45"/>
      <c r="J40" s="45"/>
      <c r="K40" s="45"/>
      <c r="L40" s="45"/>
      <c r="M40" s="45"/>
      <c r="N40" s="45"/>
    </row>
    <row r="41" spans="1:15" ht="15" customHeight="1" thickBot="1" x14ac:dyDescent="0.4">
      <c r="A41" s="43"/>
      <c r="B41" s="43"/>
      <c r="C41" s="44" t="s">
        <v>48</v>
      </c>
      <c r="D41" s="43"/>
      <c r="E41" s="43"/>
      <c r="G41" s="30" t="s">
        <v>49</v>
      </c>
      <c r="I41" s="36">
        <v>35</v>
      </c>
      <c r="J41" s="30" t="s">
        <v>67</v>
      </c>
      <c r="K41" s="45"/>
      <c r="L41" s="52" t="s">
        <v>51</v>
      </c>
      <c r="M41" s="45"/>
      <c r="N41" s="36">
        <v>120</v>
      </c>
      <c r="O41" s="30" t="s">
        <v>67</v>
      </c>
    </row>
    <row r="42" spans="1:15" ht="15" customHeight="1" thickBot="1" x14ac:dyDescent="0.4">
      <c r="A42" s="43"/>
      <c r="B42" s="43"/>
      <c r="C42" s="44" t="s">
        <v>52</v>
      </c>
      <c r="D42" s="43"/>
      <c r="E42" s="43"/>
      <c r="G42" s="30" t="s">
        <v>49</v>
      </c>
      <c r="I42" s="53">
        <v>21.3</v>
      </c>
      <c r="J42" s="30" t="s">
        <v>53</v>
      </c>
      <c r="K42" s="45"/>
      <c r="L42" s="52" t="s">
        <v>51</v>
      </c>
      <c r="M42" s="45"/>
      <c r="N42" s="36">
        <v>35</v>
      </c>
      <c r="O42" s="30" t="s">
        <v>53</v>
      </c>
    </row>
    <row r="43" spans="1:15" ht="15" customHeight="1" x14ac:dyDescent="0.3">
      <c r="G43" s="45"/>
      <c r="H43" s="45"/>
      <c r="I43" s="45"/>
      <c r="J43" s="45"/>
      <c r="K43" s="45"/>
      <c r="L43" s="45"/>
      <c r="M43" s="45"/>
      <c r="N43" s="45"/>
    </row>
    <row r="44" spans="1:15" ht="15" customHeight="1" x14ac:dyDescent="0.3">
      <c r="G44" s="45"/>
      <c r="H44" s="45"/>
      <c r="I44" s="45"/>
      <c r="J44" s="45"/>
      <c r="K44" s="45"/>
      <c r="L44" s="45"/>
      <c r="M44" s="45"/>
      <c r="N44" s="45"/>
    </row>
    <row r="45" spans="1:15" ht="15" customHeight="1" x14ac:dyDescent="0.3">
      <c r="G45" s="45"/>
      <c r="H45" s="45"/>
      <c r="I45" s="45"/>
      <c r="J45" s="45"/>
      <c r="K45" s="45"/>
      <c r="L45" s="45"/>
      <c r="M45" s="45"/>
      <c r="N45" s="45"/>
    </row>
    <row r="46" spans="1:15" ht="15" customHeight="1" x14ac:dyDescent="0.3">
      <c r="G46" s="45"/>
      <c r="H46" s="45"/>
      <c r="I46" s="45"/>
      <c r="J46" s="45"/>
      <c r="K46" s="45"/>
      <c r="L46" s="45"/>
      <c r="M46" s="45"/>
      <c r="N46" s="45"/>
    </row>
    <row r="47" spans="1:15" x14ac:dyDescent="0.3">
      <c r="H47" s="54"/>
    </row>
    <row r="48" spans="1:15" x14ac:dyDescent="0.3">
      <c r="H48" s="54"/>
      <c r="I48" s="54"/>
      <c r="J48" s="54"/>
      <c r="K48" s="54"/>
      <c r="L48" s="54"/>
      <c r="M48" s="54"/>
      <c r="N48" s="54"/>
    </row>
    <row r="49" spans="2:14" ht="15" customHeight="1" x14ac:dyDescent="0.3">
      <c r="B49" s="49"/>
      <c r="H49" s="52"/>
    </row>
    <row r="50" spans="2:14" x14ac:dyDescent="0.3">
      <c r="B50" s="49"/>
      <c r="H50" s="55"/>
      <c r="J50" s="55"/>
      <c r="K50" s="55"/>
      <c r="L50" s="55"/>
      <c r="M50" s="55"/>
      <c r="N50" s="55"/>
    </row>
    <row r="51" spans="2:14" ht="14.5" customHeight="1" x14ac:dyDescent="0.3">
      <c r="B51" s="49"/>
      <c r="H51" s="55"/>
      <c r="J51" s="55"/>
      <c r="K51" s="55"/>
      <c r="L51" s="55"/>
      <c r="M51" s="55"/>
      <c r="N51" s="55"/>
    </row>
    <row r="52" spans="2:14" ht="14.5" hidden="1" customHeight="1" x14ac:dyDescent="0.3">
      <c r="B52" s="49" t="s">
        <v>24</v>
      </c>
      <c r="H52" s="55"/>
      <c r="J52" s="55"/>
      <c r="K52" s="55"/>
      <c r="L52" s="55"/>
      <c r="M52" s="55"/>
      <c r="N52" s="55"/>
    </row>
    <row r="53" spans="2:14" hidden="1" x14ac:dyDescent="0.3">
      <c r="B53" s="49" t="s">
        <v>54</v>
      </c>
    </row>
    <row r="54" spans="2:14" hidden="1" x14ac:dyDescent="0.3"/>
    <row r="55" spans="2:14" hidden="1" x14ac:dyDescent="0.3">
      <c r="H55" s="52"/>
    </row>
    <row r="56" spans="2:14" hidden="1" x14ac:dyDescent="0.3">
      <c r="B56" s="30" t="s">
        <v>55</v>
      </c>
    </row>
    <row r="57" spans="2:14" hidden="1" x14ac:dyDescent="0.3">
      <c r="B57" s="49" t="s">
        <v>56</v>
      </c>
    </row>
    <row r="58" spans="2:14" hidden="1" x14ac:dyDescent="0.3">
      <c r="B58" s="49"/>
    </row>
    <row r="59" spans="2:14" hidden="1" x14ac:dyDescent="0.3">
      <c r="B59" s="30" t="s">
        <v>45</v>
      </c>
    </row>
    <row r="60" spans="2:14" hidden="1" x14ac:dyDescent="0.3">
      <c r="B60" s="30" t="s">
        <v>57</v>
      </c>
    </row>
    <row r="61" spans="2:14" hidden="1" x14ac:dyDescent="0.3">
      <c r="B61" s="30" t="s">
        <v>58</v>
      </c>
    </row>
    <row r="62" spans="2:14" hidden="1" x14ac:dyDescent="0.3">
      <c r="B62" s="30" t="s">
        <v>54</v>
      </c>
    </row>
    <row r="63" spans="2:14" hidden="1" x14ac:dyDescent="0.3">
      <c r="B63" s="56"/>
    </row>
    <row r="64" spans="2:14" hidden="1" x14ac:dyDescent="0.3">
      <c r="B64" s="56" t="s">
        <v>59</v>
      </c>
    </row>
    <row r="65" spans="2:14" hidden="1" x14ac:dyDescent="0.3">
      <c r="B65" s="56" t="s">
        <v>42</v>
      </c>
    </row>
    <row r="66" spans="2:14" ht="15" hidden="1" customHeight="1" x14ac:dyDescent="0.3">
      <c r="B66" s="30" t="s">
        <v>60</v>
      </c>
      <c r="I66" s="30" t="s">
        <v>61</v>
      </c>
    </row>
    <row r="67" spans="2:14" hidden="1" x14ac:dyDescent="0.3">
      <c r="B67" s="30" t="s">
        <v>54</v>
      </c>
      <c r="I67" s="30" t="s">
        <v>31</v>
      </c>
    </row>
    <row r="68" spans="2:14" hidden="1" x14ac:dyDescent="0.3">
      <c r="I68" s="30" t="s">
        <v>62</v>
      </c>
    </row>
    <row r="69" spans="2:14" hidden="1" x14ac:dyDescent="0.3">
      <c r="I69" s="30" t="s">
        <v>54</v>
      </c>
    </row>
    <row r="70" spans="2:14" hidden="1" x14ac:dyDescent="0.3">
      <c r="B70" s="34" t="s">
        <v>63</v>
      </c>
    </row>
    <row r="71" spans="2:14" ht="48" customHeight="1" x14ac:dyDescent="0.3"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spans="2:14" ht="27.65" customHeight="1" x14ac:dyDescent="0.3">
      <c r="B72" s="57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</row>
  </sheetData>
  <sheetProtection algorithmName="SHA-512" hashValue="UUM+SffAOFtmlq8Zq2pO2Z5D5NcXOU7Kz5qih/CfmATiSR9Z9ud0sMjGJQLOTImJmbsnJ+u4hZ1tQGflW1yDSg==" saltValue="yd7nhZEed/LtB2uiBvwjNw==" spinCount="100000" sheet="1" objects="1" scenarios="1" formatColumns="0" formatRows="0"/>
  <mergeCells count="22">
    <mergeCell ref="G35:O35"/>
    <mergeCell ref="G37:N37"/>
    <mergeCell ref="G39:O39"/>
    <mergeCell ref="G23:N23"/>
    <mergeCell ref="G25:O25"/>
    <mergeCell ref="G27:K27"/>
    <mergeCell ref="G29:I29"/>
    <mergeCell ref="G31:K31"/>
    <mergeCell ref="G33:N33"/>
    <mergeCell ref="G12:O12"/>
    <mergeCell ref="G13:O13"/>
    <mergeCell ref="G15:O15"/>
    <mergeCell ref="G17:N17"/>
    <mergeCell ref="G19:O19"/>
    <mergeCell ref="G21:N21"/>
    <mergeCell ref="A1:O1"/>
    <mergeCell ref="L2:O2"/>
    <mergeCell ref="N3:O3"/>
    <mergeCell ref="M5:O5"/>
    <mergeCell ref="K6:O6"/>
    <mergeCell ref="C7:D7"/>
    <mergeCell ref="J7:O7"/>
  </mergeCells>
  <conditionalFormatting sqref="A1 P1:XFD3 A2:L2 A3:N3 A4:XFD22 P23:XFD23 A26:XFD48 A49:H58 J49:XFD58 A59:XFD59 A60:H63 J60:XFD63">
    <cfRule type="expression" dxfId="99" priority="11">
      <formula>CELL("protect", INDIRECT(ADDRESS(ROW(), COLUMN())))=0</formula>
    </cfRule>
  </conditionalFormatting>
  <conditionalFormatting sqref="A23:N23">
    <cfRule type="expression" dxfId="98" priority="2">
      <formula>CELL("protect", INDIRECT(ADDRESS(ROW(), COLUMN())))=0</formula>
    </cfRule>
  </conditionalFormatting>
  <conditionalFormatting sqref="A64:XFD1048576">
    <cfRule type="expression" dxfId="97" priority="3">
      <formula>CELL("protect", INDIRECT(ADDRESS(ROW(), COLUMN())))=0</formula>
    </cfRule>
  </conditionalFormatting>
  <conditionalFormatting sqref="G17:N17">
    <cfRule type="expression" dxfId="96" priority="9">
      <formula>CELL("protect", INDIRECT(ADDRESS(ROW(), COLUMN())))=0</formula>
    </cfRule>
  </conditionalFormatting>
  <conditionalFormatting sqref="G21:N21">
    <cfRule type="expression" dxfId="95" priority="8">
      <formula>CELL("protect", INDIRECT(ADDRESS(ROW(), COLUMN())))=0</formula>
    </cfRule>
  </conditionalFormatting>
  <conditionalFormatting sqref="G37:N37">
    <cfRule type="expression" dxfId="94" priority="7">
      <formula>CELL("protect", INDIRECT(ADDRESS(ROW(), COLUMN())))=0</formula>
    </cfRule>
  </conditionalFormatting>
  <conditionalFormatting sqref="G18:O19">
    <cfRule type="expression" dxfId="93" priority="10">
      <formula>CELL("protect", INDIRECT(ADDRESS(ROW(), COLUMN())))=0</formula>
    </cfRule>
  </conditionalFormatting>
  <conditionalFormatting sqref="G24:O25">
    <cfRule type="expression" dxfId="92" priority="1">
      <formula>CELL("protect", INDIRECT(ADDRESS(ROW(), COLUMN())))=0</formula>
    </cfRule>
  </conditionalFormatting>
  <conditionalFormatting sqref="G33:O35">
    <cfRule type="expression" dxfId="91" priority="5">
      <formula>CELL("protect", INDIRECT(ADDRESS(ROW(), COLUMN())))=0</formula>
    </cfRule>
  </conditionalFormatting>
  <conditionalFormatting sqref="G38:O39">
    <cfRule type="expression" dxfId="90" priority="6">
      <formula>CELL("protect", INDIRECT(ADDRESS(ROW(), COLUMN())))=0</formula>
    </cfRule>
  </conditionalFormatting>
  <conditionalFormatting sqref="I56:I64">
    <cfRule type="expression" dxfId="89" priority="4">
      <formula>CELL("protect", INDIRECT(ADDRESS(ROW(), COLUMN())))=0</formula>
    </cfRule>
  </conditionalFormatting>
  <dataValidations count="4">
    <dataValidation type="list" allowBlank="1" showInputMessage="1" showErrorMessage="1" sqref="G23:N23" xr:uid="{CD7F3E5B-7207-4D40-BED8-20D32CBDDB99}">
      <formula1>$I$66:$I$69</formula1>
    </dataValidation>
    <dataValidation type="list" allowBlank="1" showInputMessage="1" showErrorMessage="1" sqref="G33:N33" xr:uid="{D8F0168D-DEE5-41F7-9C07-51001461F2FD}">
      <formula1>$B$64:$B$67</formula1>
    </dataValidation>
    <dataValidation type="list" allowBlank="1" showInputMessage="1" showErrorMessage="1" sqref="G37:N37" xr:uid="{8175B4B7-2B33-4459-9DDB-035B2FA68BA6}">
      <formula1>$B$59:$B$62</formula1>
    </dataValidation>
    <dataValidation type="list" allowBlank="1" showInputMessage="1" showErrorMessage="1" sqref="G17:N17" xr:uid="{686DA3EA-1F75-46B4-986A-9A3B9ED54561}">
      <formula1>$B$52:$B$53</formula1>
    </dataValidation>
  </dataValidations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&amp;C- Part 2-C25- (Rev.1)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DA35-3ACE-4CC9-8C4F-082E8E0EC340}">
  <dimension ref="A1:Z57"/>
  <sheetViews>
    <sheetView view="pageBreakPreview" zoomScale="85" zoomScaleNormal="100" zoomScaleSheetLayoutView="85" workbookViewId="0">
      <selection activeCell="H46" sqref="H46:U46"/>
    </sheetView>
  </sheetViews>
  <sheetFormatPr defaultColWidth="8.90625" defaultRowHeight="13" x14ac:dyDescent="0.3"/>
  <cols>
    <col min="1" max="1" width="2.36328125" style="30" customWidth="1"/>
    <col min="2" max="2" width="7.81640625" style="30" customWidth="1"/>
    <col min="3" max="4" width="13.6328125" style="30" customWidth="1"/>
    <col min="5" max="5" width="11.81640625" style="30" customWidth="1"/>
    <col min="6" max="6" width="3" style="30" customWidth="1"/>
    <col min="7" max="7" width="2.90625" style="30" customWidth="1"/>
    <col min="8" max="8" width="1.08984375" style="30" customWidth="1"/>
    <col min="9" max="9" width="11" style="30" customWidth="1"/>
    <col min="10" max="10" width="2.90625" style="30" customWidth="1"/>
    <col min="11" max="11" width="7.6328125" style="30" customWidth="1"/>
    <col min="12" max="12" width="1.90625" style="30" customWidth="1"/>
    <col min="13" max="13" width="2.453125" style="30" customWidth="1"/>
    <col min="14" max="14" width="10.453125" style="30" customWidth="1"/>
    <col min="15" max="15" width="4.08984375" style="30" customWidth="1"/>
    <col min="16" max="16" width="8.90625" style="30"/>
    <col min="17" max="17" width="13.90625" style="30" hidden="1" customWidth="1"/>
    <col min="18" max="18" width="10.36328125" style="30" hidden="1" customWidth="1"/>
    <col min="19" max="21" width="9.36328125" style="30" hidden="1" customWidth="1"/>
    <col min="22" max="22" width="0" style="30" hidden="1" customWidth="1"/>
    <col min="23" max="23" width="23.36328125" style="30" hidden="1" customWidth="1"/>
    <col min="24" max="24" width="13.453125" style="30" hidden="1" customWidth="1"/>
    <col min="25" max="25" width="10.6328125" style="30" hidden="1" customWidth="1"/>
    <col min="26" max="26" width="13.90625" style="30" hidden="1" customWidth="1"/>
    <col min="27" max="16384" width="8.90625" style="30"/>
  </cols>
  <sheetData>
    <row r="1" spans="1:24" ht="14.5" customHeight="1" x14ac:dyDescent="0.3">
      <c r="A1" s="58" t="s">
        <v>68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24" ht="14.5" customHeight="1" x14ac:dyDescent="0.3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 t="s">
        <v>69</v>
      </c>
      <c r="O2" s="60"/>
    </row>
    <row r="3" spans="1:24" x14ac:dyDescent="0.3">
      <c r="N3" s="60" t="s">
        <v>70</v>
      </c>
      <c r="O3" s="60"/>
      <c r="T3" s="61"/>
      <c r="U3" s="61" t="s">
        <v>71</v>
      </c>
      <c r="V3" s="61"/>
      <c r="W3" s="61"/>
      <c r="X3" s="61"/>
    </row>
    <row r="4" spans="1:24" ht="15" customHeight="1" thickBot="1" x14ac:dyDescent="0.35">
      <c r="A4" s="34" t="s">
        <v>3</v>
      </c>
      <c r="F4" s="34"/>
      <c r="G4" s="34"/>
      <c r="Q4" s="62" t="s">
        <v>72</v>
      </c>
      <c r="T4" s="61">
        <v>1</v>
      </c>
      <c r="U4" s="61" t="s">
        <v>73</v>
      </c>
      <c r="V4" s="61"/>
      <c r="W4" s="61"/>
      <c r="X4" s="61"/>
    </row>
    <row r="5" spans="1:24" ht="15" customHeight="1" thickBot="1" x14ac:dyDescent="0.35">
      <c r="A5" s="34" t="s">
        <v>4</v>
      </c>
      <c r="E5" s="36" t="s">
        <v>74</v>
      </c>
      <c r="F5" s="34"/>
      <c r="G5" s="34" t="s">
        <v>6</v>
      </c>
      <c r="K5" s="63" t="s">
        <v>7</v>
      </c>
      <c r="L5" s="64"/>
      <c r="M5" s="64"/>
      <c r="N5" s="64"/>
      <c r="O5" s="65"/>
      <c r="Q5" s="62" t="s">
        <v>75</v>
      </c>
      <c r="T5" s="61"/>
      <c r="U5" s="61">
        <v>1.1000000000000001</v>
      </c>
      <c r="V5" s="61" t="s">
        <v>76</v>
      </c>
      <c r="W5" s="61" t="s">
        <v>77</v>
      </c>
      <c r="X5" s="61"/>
    </row>
    <row r="6" spans="1:24" ht="15" customHeight="1" thickBot="1" x14ac:dyDescent="0.35">
      <c r="A6" s="34" t="s">
        <v>8</v>
      </c>
      <c r="C6" s="40" t="s">
        <v>9</v>
      </c>
      <c r="D6" s="41"/>
      <c r="F6" s="34"/>
      <c r="G6" s="34" t="s">
        <v>10</v>
      </c>
      <c r="J6" s="40" t="s">
        <v>78</v>
      </c>
      <c r="K6" s="42"/>
      <c r="L6" s="42"/>
      <c r="M6" s="42"/>
      <c r="N6" s="42"/>
      <c r="O6" s="41"/>
      <c r="T6" s="61"/>
      <c r="U6" s="61"/>
      <c r="V6" s="61"/>
      <c r="W6" s="61" t="s">
        <v>79</v>
      </c>
      <c r="X6" s="61"/>
    </row>
    <row r="7" spans="1:24" ht="14.5" customHeight="1" x14ac:dyDescent="0.3">
      <c r="F7" s="34"/>
      <c r="T7" s="61"/>
      <c r="U7" s="61">
        <v>1.2</v>
      </c>
      <c r="V7" s="61" t="s">
        <v>80</v>
      </c>
      <c r="W7" s="61"/>
      <c r="X7" s="61"/>
    </row>
    <row r="8" spans="1:24" x14ac:dyDescent="0.3">
      <c r="T8" s="61"/>
      <c r="U8" s="61"/>
      <c r="V8" s="61"/>
      <c r="W8" s="61" t="s">
        <v>81</v>
      </c>
      <c r="X8" s="61" t="s">
        <v>77</v>
      </c>
    </row>
    <row r="9" spans="1:24" x14ac:dyDescent="0.3">
      <c r="T9" s="61"/>
      <c r="U9" s="61"/>
      <c r="V9" s="61"/>
      <c r="W9" s="61"/>
      <c r="X9" s="61" t="s">
        <v>79</v>
      </c>
    </row>
    <row r="10" spans="1:24" ht="13.5" thickBot="1" x14ac:dyDescent="0.35">
      <c r="A10" s="30" t="s">
        <v>12</v>
      </c>
      <c r="B10" s="30" t="s">
        <v>13</v>
      </c>
      <c r="T10" s="61"/>
      <c r="U10" s="61"/>
      <c r="V10" s="61"/>
      <c r="W10" s="61" t="s">
        <v>82</v>
      </c>
      <c r="X10" s="61" t="s">
        <v>83</v>
      </c>
    </row>
    <row r="11" spans="1:24" ht="15" customHeight="1" thickBot="1" x14ac:dyDescent="0.35">
      <c r="B11" s="56"/>
      <c r="C11" s="56" t="s">
        <v>15</v>
      </c>
      <c r="G11" s="40" t="s">
        <v>84</v>
      </c>
      <c r="H11" s="42"/>
      <c r="I11" s="42"/>
      <c r="J11" s="42"/>
      <c r="K11" s="42"/>
      <c r="L11" s="42"/>
      <c r="M11" s="42"/>
      <c r="N11" s="42"/>
      <c r="O11" s="41"/>
      <c r="T11" s="61"/>
      <c r="U11" s="61"/>
      <c r="V11" s="61"/>
      <c r="W11" s="61"/>
      <c r="X11" s="61"/>
    </row>
    <row r="12" spans="1:24" ht="13.5" thickBot="1" x14ac:dyDescent="0.35">
      <c r="B12" s="56"/>
      <c r="C12" s="56" t="s">
        <v>17</v>
      </c>
      <c r="G12" s="40" t="s">
        <v>85</v>
      </c>
      <c r="H12" s="42"/>
      <c r="I12" s="42"/>
      <c r="J12" s="42"/>
      <c r="K12" s="42"/>
      <c r="L12" s="42"/>
      <c r="M12" s="42"/>
      <c r="N12" s="42"/>
      <c r="O12" s="41"/>
      <c r="T12" s="61">
        <v>2</v>
      </c>
      <c r="U12" s="61" t="s">
        <v>86</v>
      </c>
      <c r="V12" s="61"/>
      <c r="W12" s="61"/>
      <c r="X12" s="61"/>
    </row>
    <row r="13" spans="1:24" ht="13.5" thickBot="1" x14ac:dyDescent="0.35">
      <c r="B13" s="56"/>
      <c r="Q13" s="62" t="s">
        <v>87</v>
      </c>
      <c r="T13" s="61"/>
      <c r="U13" s="61">
        <v>2.1</v>
      </c>
      <c r="V13" s="61" t="s">
        <v>88</v>
      </c>
      <c r="W13" s="61"/>
      <c r="X13" s="61"/>
    </row>
    <row r="14" spans="1:24" ht="16" thickBot="1" x14ac:dyDescent="0.35">
      <c r="A14" s="30" t="s">
        <v>19</v>
      </c>
      <c r="B14" s="66" t="s">
        <v>89</v>
      </c>
      <c r="C14" s="66"/>
      <c r="D14" s="66"/>
      <c r="G14" s="40" t="s">
        <v>90</v>
      </c>
      <c r="H14" s="42"/>
      <c r="I14" s="42"/>
      <c r="J14" s="42"/>
      <c r="K14" s="42"/>
      <c r="L14" s="42"/>
      <c r="M14" s="42"/>
      <c r="N14" s="42"/>
      <c r="O14" s="41"/>
      <c r="Q14" s="62" t="s">
        <v>91</v>
      </c>
      <c r="T14" s="61"/>
      <c r="U14" s="61"/>
      <c r="V14" s="61"/>
      <c r="W14" s="61" t="s">
        <v>92</v>
      </c>
      <c r="X14" s="61" t="e">
        <f>VLOOKUP(#REF!,$V$27:$Z$27,4,FALSE)</f>
        <v>#REF!</v>
      </c>
    </row>
    <row r="15" spans="1:24" ht="16" thickBot="1" x14ac:dyDescent="0.35">
      <c r="A15" s="66" t="s">
        <v>22</v>
      </c>
      <c r="B15" s="66" t="s">
        <v>93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Q15" s="62" t="s">
        <v>94</v>
      </c>
    </row>
    <row r="16" spans="1:24" ht="13.5" thickBot="1" x14ac:dyDescent="0.35">
      <c r="A16" s="66"/>
      <c r="B16" s="67" t="s">
        <v>95</v>
      </c>
      <c r="D16" s="66"/>
      <c r="E16" s="66"/>
      <c r="F16" s="66"/>
      <c r="G16" s="68" t="s">
        <v>49</v>
      </c>
      <c r="H16" s="66"/>
      <c r="I16" s="69">
        <v>29</v>
      </c>
      <c r="J16" s="66" t="s">
        <v>96</v>
      </c>
      <c r="K16" s="66"/>
      <c r="L16" s="70" t="s">
        <v>51</v>
      </c>
      <c r="M16" s="70"/>
      <c r="N16" s="69">
        <v>35</v>
      </c>
      <c r="O16" s="66" t="s">
        <v>96</v>
      </c>
      <c r="Q16" s="62" t="s">
        <v>97</v>
      </c>
    </row>
    <row r="17" spans="1:26" ht="9" customHeight="1" thickBot="1" x14ac:dyDescent="0.35">
      <c r="A17" s="66"/>
      <c r="B17" s="66"/>
      <c r="C17" s="67"/>
      <c r="D17" s="66"/>
      <c r="E17" s="66"/>
      <c r="F17" s="66"/>
      <c r="G17" s="68"/>
      <c r="H17" s="66"/>
      <c r="I17" s="71"/>
      <c r="J17" s="66"/>
      <c r="K17" s="66"/>
      <c r="L17" s="70"/>
      <c r="M17" s="70"/>
      <c r="N17" s="71"/>
      <c r="O17" s="66"/>
      <c r="Q17" s="62"/>
    </row>
    <row r="18" spans="1:26" ht="15" customHeight="1" thickBot="1" x14ac:dyDescent="0.4">
      <c r="A18" s="66" t="s">
        <v>26</v>
      </c>
      <c r="B18" s="30" t="s">
        <v>23</v>
      </c>
      <c r="F18" s="72"/>
      <c r="G18" s="73" t="s">
        <v>98</v>
      </c>
      <c r="H18" s="74"/>
      <c r="I18" s="74"/>
      <c r="J18" s="74"/>
      <c r="K18" s="74"/>
      <c r="L18" s="74"/>
      <c r="M18" s="74"/>
      <c r="N18" s="75"/>
      <c r="O18" s="50"/>
    </row>
    <row r="19" spans="1:26" ht="15" customHeight="1" thickBot="1" x14ac:dyDescent="0.4">
      <c r="G19" s="30" t="s">
        <v>99</v>
      </c>
      <c r="H19" s="50"/>
      <c r="I19" s="49"/>
      <c r="J19" s="49"/>
      <c r="K19" s="49"/>
      <c r="L19" s="49"/>
      <c r="M19" s="49"/>
      <c r="N19" s="49"/>
      <c r="O19" s="49"/>
    </row>
    <row r="20" spans="1:26" ht="54.65" customHeight="1" thickBot="1" x14ac:dyDescent="0.4">
      <c r="G20" s="76"/>
      <c r="H20" s="77"/>
      <c r="I20" s="77"/>
      <c r="J20" s="77"/>
      <c r="K20" s="77"/>
      <c r="L20" s="77"/>
      <c r="M20" s="77"/>
      <c r="N20" s="77"/>
      <c r="O20" s="78"/>
    </row>
    <row r="21" spans="1:26" ht="13.5" thickBot="1" x14ac:dyDescent="0.35"/>
    <row r="22" spans="1:26" ht="14.5" customHeight="1" thickBot="1" x14ac:dyDescent="0.35">
      <c r="A22" s="30" t="s">
        <v>29</v>
      </c>
      <c r="B22" s="66" t="s">
        <v>100</v>
      </c>
      <c r="C22" s="66"/>
      <c r="D22" s="66"/>
      <c r="E22" s="66"/>
      <c r="F22" s="66"/>
      <c r="G22" s="79"/>
      <c r="H22" s="80"/>
      <c r="I22" s="81" t="s">
        <v>101</v>
      </c>
      <c r="J22" s="82"/>
      <c r="K22" s="82"/>
      <c r="L22" s="82"/>
      <c r="M22" s="82"/>
      <c r="N22" s="82"/>
      <c r="O22" s="66"/>
      <c r="Q22" s="62" t="s">
        <v>102</v>
      </c>
    </row>
    <row r="23" spans="1:26" ht="15" customHeight="1" thickBot="1" x14ac:dyDescent="0.35">
      <c r="A23" s="66"/>
      <c r="B23" s="70"/>
      <c r="C23" s="83"/>
      <c r="D23" s="83"/>
      <c r="E23" s="83"/>
      <c r="F23" s="83"/>
      <c r="G23" s="66"/>
      <c r="H23" s="70"/>
      <c r="I23" s="70" t="s">
        <v>103</v>
      </c>
      <c r="J23" s="84"/>
      <c r="K23" s="85"/>
      <c r="L23" s="85"/>
      <c r="M23" s="85"/>
      <c r="N23" s="85"/>
      <c r="O23" s="86"/>
    </row>
    <row r="24" spans="1:26" ht="14.5" customHeight="1" thickBot="1" x14ac:dyDescent="0.35">
      <c r="A24" s="66"/>
      <c r="B24" s="66"/>
      <c r="C24" s="83"/>
      <c r="D24" s="83"/>
      <c r="E24" s="83"/>
      <c r="F24" s="87"/>
      <c r="G24" s="79" t="s">
        <v>63</v>
      </c>
      <c r="H24" s="88"/>
      <c r="I24" s="89" t="s">
        <v>104</v>
      </c>
      <c r="J24" s="90"/>
      <c r="K24" s="90"/>
      <c r="L24" s="90"/>
      <c r="M24" s="90"/>
      <c r="N24" s="90"/>
      <c r="O24" s="66"/>
      <c r="U24" s="61"/>
      <c r="V24" s="61"/>
      <c r="W24" s="61"/>
      <c r="X24" s="61"/>
      <c r="Y24" s="61"/>
      <c r="Z24" s="61"/>
    </row>
    <row r="25" spans="1:26" ht="13.5" thickBot="1" x14ac:dyDescent="0.35">
      <c r="A25" s="66"/>
      <c r="B25" s="66"/>
      <c r="C25" s="83"/>
      <c r="D25" s="83"/>
      <c r="E25" s="83"/>
      <c r="F25" s="83"/>
      <c r="G25" s="66"/>
      <c r="H25" s="66"/>
      <c r="I25" s="70" t="s">
        <v>103</v>
      </c>
      <c r="J25" s="84" t="s">
        <v>105</v>
      </c>
      <c r="K25" s="85"/>
      <c r="L25" s="85"/>
      <c r="M25" s="85"/>
      <c r="N25" s="85"/>
      <c r="O25" s="86"/>
      <c r="U25" s="61"/>
      <c r="V25" s="91" t="s">
        <v>106</v>
      </c>
      <c r="W25" s="91"/>
      <c r="X25" s="91"/>
      <c r="Y25" s="91"/>
      <c r="Z25" s="61"/>
    </row>
    <row r="26" spans="1:26" ht="13.5" thickBot="1" x14ac:dyDescent="0.35">
      <c r="A26" s="66"/>
      <c r="B26" s="66"/>
      <c r="C26" s="83"/>
      <c r="D26" s="83"/>
      <c r="E26" s="83"/>
      <c r="F26" s="83"/>
      <c r="G26" s="66"/>
      <c r="H26" s="66"/>
      <c r="I26" s="70" t="s">
        <v>107</v>
      </c>
      <c r="J26" s="84" t="s">
        <v>108</v>
      </c>
      <c r="K26" s="85"/>
      <c r="L26" s="85"/>
      <c r="M26" s="85"/>
      <c r="N26" s="85"/>
      <c r="O26" s="86"/>
      <c r="U26" s="61"/>
      <c r="V26" s="61" t="s">
        <v>109</v>
      </c>
      <c r="W26" s="61" t="s">
        <v>110</v>
      </c>
      <c r="X26" s="61" t="s">
        <v>111</v>
      </c>
      <c r="Y26" s="30" t="s">
        <v>112</v>
      </c>
      <c r="Z26" s="30" t="s">
        <v>113</v>
      </c>
    </row>
    <row r="27" spans="1:26" ht="32.5" customHeight="1" thickBot="1" x14ac:dyDescent="0.35">
      <c r="A27" s="92" t="s">
        <v>33</v>
      </c>
      <c r="B27" s="93" t="s">
        <v>114</v>
      </c>
      <c r="C27" s="94"/>
      <c r="D27" s="94"/>
      <c r="E27" s="94"/>
      <c r="G27" s="45"/>
      <c r="H27" s="45"/>
      <c r="I27" s="45"/>
      <c r="Q27" s="61"/>
      <c r="R27" s="61"/>
      <c r="S27" s="61"/>
      <c r="T27" s="61"/>
      <c r="U27" s="61"/>
      <c r="V27" s="61">
        <v>230</v>
      </c>
      <c r="W27" s="61">
        <v>170</v>
      </c>
      <c r="X27" s="61"/>
      <c r="Y27" s="30" t="e">
        <f>0.16*$W27*$W27/#REF!*#REF!</f>
        <v>#REF!</v>
      </c>
      <c r="Z27" s="30" t="e">
        <f>0.17*$W27*$W27/#REF!*#REF!</f>
        <v>#REF!</v>
      </c>
    </row>
    <row r="28" spans="1:26" ht="13.5" thickBot="1" x14ac:dyDescent="0.35">
      <c r="B28" s="56" t="s">
        <v>115</v>
      </c>
      <c r="G28" s="40">
        <v>35</v>
      </c>
      <c r="H28" s="42"/>
      <c r="I28" s="41"/>
      <c r="J28" s="30" t="s">
        <v>53</v>
      </c>
      <c r="Q28" s="61">
        <v>0.16</v>
      </c>
      <c r="R28" s="61">
        <v>0.17</v>
      </c>
      <c r="S28" s="61" t="e">
        <f>IF(#REF!="FLAT",Q28,IF(#REF!="TREFOIL",R28,"-"))</f>
        <v>#REF!</v>
      </c>
      <c r="T28" s="61"/>
      <c r="U28" s="61"/>
      <c r="V28" s="61"/>
      <c r="W28" s="61" t="s">
        <v>116</v>
      </c>
      <c r="X28" s="61"/>
      <c r="Y28" s="61"/>
      <c r="Z28" s="61"/>
    </row>
    <row r="29" spans="1:26" ht="13.5" thickBot="1" x14ac:dyDescent="0.35">
      <c r="B29" s="56" t="s">
        <v>117</v>
      </c>
      <c r="G29" s="40">
        <v>125</v>
      </c>
      <c r="H29" s="42"/>
      <c r="I29" s="41"/>
      <c r="J29" s="30" t="s">
        <v>118</v>
      </c>
      <c r="Q29" s="61" t="s">
        <v>119</v>
      </c>
      <c r="R29" s="61"/>
      <c r="S29" s="61"/>
      <c r="T29" s="61"/>
      <c r="U29" s="61"/>
      <c r="V29" s="61"/>
      <c r="W29" s="61" t="e">
        <f>$S$28*((VLOOKUP(#REF!,$V$27:$W$27,2,FALSE)^2)/#REF!)*G30</f>
        <v>#REF!</v>
      </c>
      <c r="X29" s="61"/>
      <c r="Y29" s="61"/>
      <c r="Z29" s="61"/>
    </row>
    <row r="30" spans="1:26" ht="13.5" thickBot="1" x14ac:dyDescent="0.35">
      <c r="B30" s="56" t="s">
        <v>120</v>
      </c>
      <c r="G30" s="40">
        <v>600</v>
      </c>
      <c r="H30" s="42"/>
      <c r="I30" s="41"/>
      <c r="J30" s="30" t="s">
        <v>53</v>
      </c>
      <c r="Q30" s="61" t="s">
        <v>121</v>
      </c>
      <c r="R30" s="61"/>
      <c r="S30" s="61"/>
      <c r="T30" s="61"/>
    </row>
    <row r="31" spans="1:26" ht="13.5" thickBot="1" x14ac:dyDescent="0.35"/>
    <row r="32" spans="1:26" ht="15" thickBot="1" x14ac:dyDescent="0.4">
      <c r="A32" s="30" t="s">
        <v>35</v>
      </c>
      <c r="B32" s="30" t="s">
        <v>122</v>
      </c>
      <c r="G32" s="76" t="s">
        <v>123</v>
      </c>
      <c r="H32" s="77"/>
      <c r="I32" s="77"/>
      <c r="J32" s="77"/>
      <c r="K32" s="77"/>
      <c r="L32" s="77"/>
      <c r="M32" s="77"/>
      <c r="N32" s="78"/>
      <c r="Q32" s="61" t="s">
        <v>124</v>
      </c>
    </row>
    <row r="34" spans="1:17" x14ac:dyDescent="0.3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</row>
    <row r="36" spans="1:17" ht="31.15" customHeight="1" x14ac:dyDescent="0.3">
      <c r="B36" s="96" t="s">
        <v>125</v>
      </c>
      <c r="C36" s="90" t="s">
        <v>126</v>
      </c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Q36" s="97" t="s">
        <v>127</v>
      </c>
    </row>
    <row r="37" spans="1:17" ht="43.9" customHeight="1" x14ac:dyDescent="0.3">
      <c r="B37" s="96" t="s">
        <v>128</v>
      </c>
      <c r="C37" s="90" t="s">
        <v>129</v>
      </c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</row>
    <row r="38" spans="1:17" x14ac:dyDescent="0.3">
      <c r="B38" s="99"/>
      <c r="C38" s="83" t="s">
        <v>130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</row>
    <row r="39" spans="1:17" ht="48" customHeight="1" x14ac:dyDescent="0.3">
      <c r="B39" s="66"/>
      <c r="C39" s="90" t="s">
        <v>131</v>
      </c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</row>
    <row r="40" spans="1:17" ht="19.149999999999999" customHeight="1" x14ac:dyDescent="0.3">
      <c r="B40" s="96" t="s">
        <v>132</v>
      </c>
      <c r="C40" s="100" t="s">
        <v>133</v>
      </c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</row>
    <row r="41" spans="1:17" ht="27.65" customHeight="1" x14ac:dyDescent="0.3">
      <c r="B41" s="96" t="s">
        <v>134</v>
      </c>
      <c r="C41" s="90" t="s">
        <v>135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</row>
    <row r="53" spans="2:6" hidden="1" x14ac:dyDescent="0.3">
      <c r="B53" s="30" t="s">
        <v>98</v>
      </c>
      <c r="F53" s="30" t="s">
        <v>123</v>
      </c>
    </row>
    <row r="54" spans="2:6" hidden="1" x14ac:dyDescent="0.3">
      <c r="B54" s="30" t="s">
        <v>56</v>
      </c>
      <c r="F54" s="30" t="s">
        <v>136</v>
      </c>
    </row>
    <row r="55" spans="2:6" hidden="1" x14ac:dyDescent="0.3"/>
    <row r="56" spans="2:6" hidden="1" x14ac:dyDescent="0.3">
      <c r="B56" s="30" t="s">
        <v>101</v>
      </c>
    </row>
    <row r="57" spans="2:6" hidden="1" x14ac:dyDescent="0.3">
      <c r="B57" s="30" t="s">
        <v>104</v>
      </c>
      <c r="F57" s="30" t="s">
        <v>63</v>
      </c>
    </row>
  </sheetData>
  <sheetProtection sheet="1" objects="1" scenarios="1" formatColumns="0" formatRows="0"/>
  <mergeCells count="30">
    <mergeCell ref="C37:N37"/>
    <mergeCell ref="C38:N38"/>
    <mergeCell ref="C39:N39"/>
    <mergeCell ref="C41:N41"/>
    <mergeCell ref="B27:E27"/>
    <mergeCell ref="G28:I28"/>
    <mergeCell ref="G29:I29"/>
    <mergeCell ref="G30:I30"/>
    <mergeCell ref="G32:N32"/>
    <mergeCell ref="C36:N36"/>
    <mergeCell ref="C24:F24"/>
    <mergeCell ref="I24:N24"/>
    <mergeCell ref="C25:F25"/>
    <mergeCell ref="J25:O25"/>
    <mergeCell ref="V25:Y25"/>
    <mergeCell ref="C26:F26"/>
    <mergeCell ref="J26:O26"/>
    <mergeCell ref="G12:O12"/>
    <mergeCell ref="G14:O14"/>
    <mergeCell ref="G18:N18"/>
    <mergeCell ref="G20:O20"/>
    <mergeCell ref="I22:N22"/>
    <mergeCell ref="C23:F23"/>
    <mergeCell ref="J23:O23"/>
    <mergeCell ref="A1:O1"/>
    <mergeCell ref="N2:O2"/>
    <mergeCell ref="N3:O3"/>
    <mergeCell ref="C6:D6"/>
    <mergeCell ref="J6:O6"/>
    <mergeCell ref="G11:O11"/>
  </mergeCells>
  <conditionalFormatting sqref="A18:N18 P18:R18">
    <cfRule type="expression" dxfId="88" priority="1">
      <formula>CELL("protect", INDIRECT(ADDRESS(ROW(), COLUMN())))=0</formula>
    </cfRule>
  </conditionalFormatting>
  <conditionalFormatting sqref="A1:R1 A2:N3 P2:R3 A4:R12 A13:P15 Q13:R17 A16:B16 D16:P16 A17:P17 A19:R19 A20:G20 P20:R20 A21:R21 B22:R22 A23:R26 A27:B27 F27:P27 R27:S27 A28:O28 R28:R31 A29:Q31 B32:G32 O32:R32 A33:R36 A37:B37 O37:R37 A38:R1048576">
    <cfRule type="expression" dxfId="87" priority="2">
      <formula>CELL("protect", INDIRECT(ADDRESS(ROW(), COLUMN())))=0</formula>
    </cfRule>
  </conditionalFormatting>
  <dataValidations count="3">
    <dataValidation type="list" allowBlank="1" showInputMessage="1" showErrorMessage="1" sqref="G22 G24" xr:uid="{FA0E5BA2-FC76-4647-9A8F-BF9D5CD7A7E6}">
      <formula1>$F$57</formula1>
    </dataValidation>
    <dataValidation type="list" allowBlank="1" showInputMessage="1" showErrorMessage="1" sqref="G32:N32" xr:uid="{5368164A-BC7C-4DD5-AAD7-9C9829EE992C}">
      <formula1>$F$53:$F$54</formula1>
    </dataValidation>
    <dataValidation type="list" allowBlank="1" showInputMessage="1" showErrorMessage="1" sqref="G18" xr:uid="{4E6ADDB9-74CD-43C3-AC14-853BE3040E50}">
      <formula1>$B$53:$B$54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headerFooter>
    <oddFooter>&amp;C- Part 2-C26- (Rev.1)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E899-A746-4708-8310-6D64B2E06D9F}">
  <dimension ref="A1:AA66"/>
  <sheetViews>
    <sheetView view="pageBreakPreview" topLeftCell="A7" zoomScaleNormal="100" zoomScaleSheetLayoutView="100" workbookViewId="0">
      <selection activeCell="H46" sqref="H46:U46"/>
    </sheetView>
  </sheetViews>
  <sheetFormatPr defaultColWidth="8.90625" defaultRowHeight="13" x14ac:dyDescent="0.3"/>
  <cols>
    <col min="1" max="1" width="2.453125" style="30" customWidth="1"/>
    <col min="2" max="2" width="6.453125" style="30" customWidth="1"/>
    <col min="3" max="4" width="12.81640625" style="30" customWidth="1"/>
    <col min="5" max="5" width="22.81640625" style="30" customWidth="1"/>
    <col min="6" max="6" width="3.453125" style="30" customWidth="1"/>
    <col min="7" max="7" width="2.90625" style="30" customWidth="1"/>
    <col min="8" max="8" width="1.08984375" style="30" customWidth="1"/>
    <col min="9" max="9" width="14.36328125" style="30" customWidth="1"/>
    <col min="10" max="10" width="3.453125" style="30" customWidth="1"/>
    <col min="11" max="11" width="7" style="30" customWidth="1"/>
    <col min="12" max="12" width="2.08984375" style="30" customWidth="1"/>
    <col min="13" max="13" width="15.453125" style="30" customWidth="1"/>
    <col min="14" max="14" width="3.453125" style="30" customWidth="1"/>
    <col min="15" max="16384" width="8.90625" style="30"/>
  </cols>
  <sheetData>
    <row r="1" spans="1:27" ht="22.9" customHeight="1" x14ac:dyDescent="0.3">
      <c r="A1" s="29" t="s">
        <v>137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4"/>
    </row>
    <row r="2" spans="1:27" ht="13.15" customHeight="1" x14ac:dyDescent="0.3">
      <c r="M2" s="102" t="s">
        <v>138</v>
      </c>
      <c r="N2" s="102"/>
      <c r="O2" s="62"/>
    </row>
    <row r="3" spans="1:27" ht="13.15" customHeight="1" x14ac:dyDescent="0.3">
      <c r="M3" s="60" t="s">
        <v>139</v>
      </c>
      <c r="N3" s="60"/>
      <c r="O3" s="62"/>
    </row>
    <row r="4" spans="1:27" ht="7.15" customHeight="1" x14ac:dyDescent="0.3"/>
    <row r="5" spans="1:27" ht="13.5" thickBot="1" x14ac:dyDescent="0.35">
      <c r="A5" s="34" t="s">
        <v>3</v>
      </c>
      <c r="G5" s="34"/>
    </row>
    <row r="6" spans="1:27" ht="13.5" thickBot="1" x14ac:dyDescent="0.35">
      <c r="A6" s="34" t="s">
        <v>4</v>
      </c>
      <c r="C6" s="103"/>
      <c r="D6" s="103"/>
      <c r="E6" s="36" t="s">
        <v>5</v>
      </c>
      <c r="G6" s="34" t="s">
        <v>6</v>
      </c>
      <c r="K6" s="40" t="s">
        <v>140</v>
      </c>
      <c r="L6" s="42"/>
      <c r="M6" s="42"/>
      <c r="N6" s="41"/>
    </row>
    <row r="7" spans="1:27" ht="13.5" thickBot="1" x14ac:dyDescent="0.35">
      <c r="A7" s="34" t="s">
        <v>8</v>
      </c>
      <c r="C7" s="40" t="s">
        <v>141</v>
      </c>
      <c r="D7" s="41"/>
      <c r="E7" s="104"/>
      <c r="G7" s="34" t="s">
        <v>10</v>
      </c>
      <c r="J7" s="40" t="s">
        <v>142</v>
      </c>
      <c r="K7" s="42"/>
      <c r="L7" s="42"/>
      <c r="M7" s="42"/>
      <c r="N7" s="41"/>
    </row>
    <row r="8" spans="1:27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1:27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</row>
    <row r="10" spans="1:27" ht="13.5" thickBot="1" x14ac:dyDescent="0.35">
      <c r="A10" s="105" t="s">
        <v>12</v>
      </c>
      <c r="B10" s="66" t="s">
        <v>13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27" ht="13.5" thickBot="1" x14ac:dyDescent="0.35">
      <c r="A11" s="105"/>
      <c r="B11" s="67"/>
      <c r="C11" s="67" t="s">
        <v>15</v>
      </c>
      <c r="D11" s="66"/>
      <c r="E11" s="66"/>
      <c r="F11" s="66"/>
      <c r="G11" s="106" t="s">
        <v>143</v>
      </c>
      <c r="H11" s="107"/>
      <c r="I11" s="107"/>
      <c r="J11" s="107"/>
      <c r="K11" s="107"/>
      <c r="L11" s="107"/>
      <c r="M11" s="108"/>
      <c r="N11" s="109"/>
      <c r="O11" s="66"/>
    </row>
    <row r="12" spans="1:27" ht="13.5" thickBot="1" x14ac:dyDescent="0.35">
      <c r="A12" s="105"/>
      <c r="B12" s="67"/>
      <c r="C12" s="67" t="s">
        <v>17</v>
      </c>
      <c r="D12" s="66"/>
      <c r="E12" s="66"/>
      <c r="F12" s="66"/>
      <c r="G12" s="106" t="s">
        <v>144</v>
      </c>
      <c r="H12" s="107"/>
      <c r="I12" s="107"/>
      <c r="J12" s="107"/>
      <c r="K12" s="107"/>
      <c r="L12" s="107"/>
      <c r="M12" s="108"/>
      <c r="N12" s="109"/>
      <c r="O12" s="66"/>
    </row>
    <row r="13" spans="1:27" ht="7.15" customHeight="1" thickBot="1" x14ac:dyDescent="0.35">
      <c r="A13" s="105"/>
      <c r="B13" s="67"/>
      <c r="C13" s="67"/>
      <c r="D13" s="66"/>
      <c r="E13" s="66"/>
      <c r="F13" s="66"/>
      <c r="G13" s="110"/>
      <c r="H13" s="110"/>
      <c r="I13" s="110"/>
      <c r="J13" s="110"/>
      <c r="K13" s="110"/>
      <c r="L13" s="110"/>
      <c r="M13" s="110"/>
      <c r="N13" s="109"/>
      <c r="O13" s="66"/>
      <c r="S13" s="111"/>
      <c r="T13" s="111"/>
      <c r="U13" s="111"/>
      <c r="V13" s="111"/>
      <c r="W13" s="111"/>
      <c r="X13" s="111"/>
      <c r="Y13" s="111"/>
      <c r="Z13" s="111"/>
      <c r="AA13" s="111"/>
    </row>
    <row r="14" spans="1:27" ht="14.5" thickBot="1" x14ac:dyDescent="0.35">
      <c r="A14" s="105" t="s">
        <v>19</v>
      </c>
      <c r="B14" s="66" t="s">
        <v>20</v>
      </c>
      <c r="C14" s="66"/>
      <c r="D14" s="66"/>
      <c r="E14" s="66"/>
      <c r="F14" s="66"/>
      <c r="G14" s="106" t="s">
        <v>145</v>
      </c>
      <c r="H14" s="107"/>
      <c r="I14" s="107"/>
      <c r="J14" s="107"/>
      <c r="K14" s="107"/>
      <c r="L14" s="107"/>
      <c r="M14" s="108"/>
      <c r="N14" s="109"/>
      <c r="O14" s="66"/>
      <c r="S14" s="111"/>
      <c r="T14" s="111"/>
      <c r="U14" s="111"/>
      <c r="V14" s="111"/>
      <c r="W14" s="111"/>
      <c r="X14" s="111"/>
      <c r="Y14" s="111"/>
      <c r="Z14" s="111"/>
      <c r="AA14" s="111"/>
    </row>
    <row r="15" spans="1:27" ht="7.15" customHeight="1" thickBot="1" x14ac:dyDescent="0.35">
      <c r="A15" s="105"/>
      <c r="B15" s="66"/>
      <c r="C15" s="66"/>
      <c r="D15" s="66"/>
      <c r="E15" s="66"/>
      <c r="F15" s="66"/>
      <c r="G15" s="109"/>
      <c r="H15" s="109"/>
      <c r="I15" s="109"/>
      <c r="J15" s="109"/>
      <c r="K15" s="109"/>
      <c r="L15" s="109"/>
      <c r="M15" s="109"/>
      <c r="N15" s="109"/>
      <c r="O15" s="66"/>
      <c r="S15" s="111"/>
      <c r="T15" s="111"/>
      <c r="U15" s="111"/>
      <c r="V15" s="111"/>
      <c r="W15" s="111"/>
      <c r="X15" s="111"/>
      <c r="Y15" s="111"/>
      <c r="Z15" s="111"/>
      <c r="AA15" s="111"/>
    </row>
    <row r="16" spans="1:27" ht="15" customHeight="1" thickBot="1" x14ac:dyDescent="0.35">
      <c r="A16" s="105" t="s">
        <v>22</v>
      </c>
      <c r="B16" s="66" t="s">
        <v>23</v>
      </c>
      <c r="C16" s="66"/>
      <c r="D16" s="66"/>
      <c r="E16" s="66"/>
      <c r="F16" s="66"/>
      <c r="G16" s="106" t="s">
        <v>146</v>
      </c>
      <c r="H16" s="107"/>
      <c r="I16" s="107"/>
      <c r="J16" s="107"/>
      <c r="K16" s="107"/>
      <c r="L16" s="107"/>
      <c r="M16" s="108"/>
      <c r="N16" s="112"/>
      <c r="O16" s="66"/>
      <c r="S16" s="111"/>
      <c r="T16" s="111"/>
      <c r="U16" s="111"/>
      <c r="V16" s="111"/>
      <c r="W16" s="111"/>
      <c r="X16" s="111"/>
      <c r="Y16" s="111"/>
      <c r="Z16" s="111"/>
      <c r="AA16" s="111"/>
    </row>
    <row r="17" spans="1:27" ht="15" customHeight="1" thickBot="1" x14ac:dyDescent="0.35">
      <c r="A17" s="105"/>
      <c r="B17" s="66"/>
      <c r="C17" s="66"/>
      <c r="D17" s="66"/>
      <c r="E17" s="66"/>
      <c r="F17" s="66"/>
      <c r="G17" s="66" t="s">
        <v>25</v>
      </c>
      <c r="H17" s="66"/>
      <c r="I17" s="68"/>
      <c r="J17" s="68"/>
      <c r="K17" s="68"/>
      <c r="L17" s="68"/>
      <c r="M17" s="68"/>
      <c r="N17" s="68"/>
      <c r="O17" s="66"/>
      <c r="S17" s="111"/>
      <c r="T17" s="111"/>
      <c r="U17" s="111"/>
      <c r="V17" s="111"/>
      <c r="W17" s="111"/>
      <c r="X17" s="111"/>
      <c r="Y17" s="111"/>
      <c r="Z17" s="111"/>
      <c r="AA17" s="111"/>
    </row>
    <row r="18" spans="1:27" ht="37.9" customHeight="1" thickBot="1" x14ac:dyDescent="0.35">
      <c r="A18" s="105"/>
      <c r="B18" s="66"/>
      <c r="C18" s="66"/>
      <c r="D18" s="66"/>
      <c r="E18" s="66"/>
      <c r="F18" s="66"/>
      <c r="G18" s="113"/>
      <c r="H18" s="114"/>
      <c r="I18" s="114"/>
      <c r="J18" s="114"/>
      <c r="K18" s="114"/>
      <c r="L18" s="114"/>
      <c r="M18" s="114"/>
      <c r="N18" s="115"/>
      <c r="O18" s="66"/>
      <c r="S18" s="111"/>
      <c r="T18" s="111"/>
      <c r="U18" s="111"/>
      <c r="V18" s="111"/>
      <c r="W18" s="111"/>
      <c r="X18" s="111"/>
      <c r="Y18" s="111"/>
      <c r="Z18" s="111"/>
      <c r="AA18" s="111"/>
    </row>
    <row r="19" spans="1:27" ht="7.15" customHeight="1" thickBot="1" x14ac:dyDescent="0.35">
      <c r="A19" s="105"/>
      <c r="B19" s="66"/>
      <c r="C19" s="66"/>
      <c r="D19" s="66"/>
      <c r="E19" s="66"/>
      <c r="F19" s="66"/>
      <c r="G19" s="109"/>
      <c r="H19" s="109"/>
      <c r="I19" s="109"/>
      <c r="J19" s="109"/>
      <c r="K19" s="109"/>
      <c r="L19" s="109"/>
      <c r="M19" s="109"/>
      <c r="N19" s="109"/>
      <c r="O19" s="66"/>
      <c r="S19" s="111"/>
      <c r="T19" s="111"/>
      <c r="U19" s="111"/>
      <c r="V19" s="111"/>
      <c r="W19" s="111"/>
      <c r="X19" s="111"/>
      <c r="Y19" s="111"/>
      <c r="Z19" s="111"/>
      <c r="AA19" s="111"/>
    </row>
    <row r="20" spans="1:27" ht="15" customHeight="1" thickBot="1" x14ac:dyDescent="0.35">
      <c r="A20" s="105" t="s">
        <v>26</v>
      </c>
      <c r="B20" s="66" t="s">
        <v>147</v>
      </c>
      <c r="C20" s="66"/>
      <c r="D20" s="66"/>
      <c r="E20" s="66"/>
      <c r="F20" s="66"/>
      <c r="G20" s="106">
        <v>25</v>
      </c>
      <c r="H20" s="107"/>
      <c r="I20" s="107"/>
      <c r="J20" s="107"/>
      <c r="K20" s="107"/>
      <c r="L20" s="108"/>
      <c r="M20" s="68" t="s">
        <v>32</v>
      </c>
      <c r="N20" s="109"/>
      <c r="O20" s="66"/>
      <c r="S20" s="111"/>
      <c r="T20" s="111"/>
      <c r="U20" s="111"/>
      <c r="V20" s="111"/>
      <c r="W20" s="111"/>
      <c r="X20" s="111"/>
      <c r="Y20" s="111"/>
      <c r="Z20" s="111"/>
      <c r="AA20" s="111"/>
    </row>
    <row r="21" spans="1:27" ht="15" customHeight="1" thickBot="1" x14ac:dyDescent="0.35">
      <c r="A21" s="105" t="s">
        <v>29</v>
      </c>
      <c r="B21" s="66" t="s">
        <v>148</v>
      </c>
      <c r="C21" s="66"/>
      <c r="D21" s="66"/>
      <c r="E21" s="66"/>
      <c r="F21" s="66"/>
      <c r="G21" s="106">
        <v>33.6</v>
      </c>
      <c r="H21" s="107"/>
      <c r="I21" s="107"/>
      <c r="J21" s="107"/>
      <c r="K21" s="107"/>
      <c r="L21" s="108"/>
      <c r="M21" s="66" t="s">
        <v>149</v>
      </c>
      <c r="N21" s="109"/>
      <c r="O21" s="66"/>
      <c r="S21" s="111"/>
      <c r="T21" s="111"/>
      <c r="U21" s="111"/>
      <c r="V21" s="111"/>
      <c r="W21" s="111"/>
      <c r="X21" s="111"/>
      <c r="Y21" s="111"/>
      <c r="Z21" s="111"/>
      <c r="AA21" s="111"/>
    </row>
    <row r="22" spans="1:27" ht="15" customHeight="1" thickBot="1" x14ac:dyDescent="0.35">
      <c r="A22" s="105"/>
      <c r="B22" s="66"/>
      <c r="C22" s="67" t="s">
        <v>150</v>
      </c>
      <c r="D22" s="66"/>
      <c r="E22" s="66"/>
      <c r="F22" s="66"/>
      <c r="G22" s="106" t="s">
        <v>151</v>
      </c>
      <c r="H22" s="107"/>
      <c r="I22" s="107"/>
      <c r="J22" s="107"/>
      <c r="K22" s="107"/>
      <c r="L22" s="108"/>
      <c r="M22" s="68"/>
      <c r="N22" s="109"/>
      <c r="O22" s="66"/>
      <c r="S22" s="111"/>
      <c r="T22" s="111"/>
      <c r="U22" s="111"/>
      <c r="V22" s="111"/>
      <c r="W22" s="111"/>
      <c r="X22" s="111"/>
      <c r="Y22" s="111"/>
      <c r="Z22" s="111"/>
      <c r="AA22" s="111"/>
    </row>
    <row r="23" spans="1:27" ht="15" customHeight="1" thickBot="1" x14ac:dyDescent="0.35">
      <c r="A23" s="105"/>
      <c r="B23" s="66"/>
      <c r="C23" s="67" t="s">
        <v>152</v>
      </c>
      <c r="D23" s="66"/>
      <c r="E23" s="66"/>
      <c r="F23" s="66"/>
      <c r="G23" s="106">
        <v>7</v>
      </c>
      <c r="H23" s="107"/>
      <c r="I23" s="107"/>
      <c r="J23" s="107"/>
      <c r="K23" s="107"/>
      <c r="L23" s="108"/>
      <c r="M23" s="68"/>
      <c r="N23" s="109"/>
      <c r="O23" s="66"/>
      <c r="S23" s="111"/>
      <c r="T23" s="111"/>
      <c r="U23" s="111"/>
      <c r="V23" s="111"/>
      <c r="W23" s="111"/>
      <c r="X23" s="111"/>
      <c r="Y23" s="111"/>
      <c r="Z23" s="111"/>
      <c r="AA23" s="111"/>
    </row>
    <row r="24" spans="1:27" ht="15" customHeight="1" thickBot="1" x14ac:dyDescent="0.35">
      <c r="A24" s="105"/>
      <c r="B24" s="66"/>
      <c r="C24" s="67" t="s">
        <v>153</v>
      </c>
      <c r="D24" s="66"/>
      <c r="E24" s="66"/>
      <c r="F24" s="66"/>
      <c r="G24" s="106" t="s">
        <v>154</v>
      </c>
      <c r="H24" s="107"/>
      <c r="I24" s="107"/>
      <c r="J24" s="107"/>
      <c r="K24" s="107"/>
      <c r="L24" s="108"/>
      <c r="M24" s="68" t="s">
        <v>53</v>
      </c>
      <c r="N24" s="109"/>
      <c r="O24" s="66"/>
    </row>
    <row r="25" spans="1:27" ht="5.25" customHeight="1" thickBot="1" x14ac:dyDescent="0.35">
      <c r="A25" s="105"/>
      <c r="B25" s="66"/>
      <c r="C25" s="67"/>
      <c r="D25" s="66"/>
      <c r="E25" s="66"/>
      <c r="F25" s="66"/>
      <c r="G25" s="111"/>
      <c r="H25" s="111"/>
      <c r="I25" s="111"/>
      <c r="J25" s="111"/>
      <c r="K25" s="111"/>
      <c r="L25" s="111"/>
      <c r="M25" s="68"/>
      <c r="N25" s="109"/>
      <c r="O25" s="66"/>
    </row>
    <row r="26" spans="1:27" ht="15" customHeight="1" thickBot="1" x14ac:dyDescent="0.35">
      <c r="A26" s="105" t="s">
        <v>33</v>
      </c>
      <c r="B26" s="66" t="s">
        <v>155</v>
      </c>
      <c r="C26" s="112"/>
      <c r="D26" s="112"/>
      <c r="E26" s="112"/>
      <c r="F26" s="112"/>
      <c r="G26" s="66" t="s">
        <v>49</v>
      </c>
      <c r="H26" s="66"/>
      <c r="I26" s="69">
        <v>6.85</v>
      </c>
      <c r="J26" s="66" t="s">
        <v>53</v>
      </c>
      <c r="K26" s="70"/>
      <c r="L26" s="70" t="s">
        <v>51</v>
      </c>
      <c r="M26" s="69">
        <v>7.02</v>
      </c>
      <c r="N26" s="66" t="s">
        <v>53</v>
      </c>
      <c r="O26" s="66"/>
    </row>
    <row r="27" spans="1:27" ht="4.1500000000000004" customHeight="1" thickBot="1" x14ac:dyDescent="0.35">
      <c r="A27" s="105"/>
      <c r="B27" s="66"/>
      <c r="C27" s="66"/>
      <c r="D27" s="66"/>
      <c r="E27" s="66"/>
      <c r="F27" s="66"/>
      <c r="G27" s="112"/>
      <c r="H27" s="112"/>
      <c r="I27" s="112"/>
      <c r="J27" s="112"/>
      <c r="K27" s="112"/>
      <c r="L27" s="112"/>
      <c r="M27" s="68"/>
      <c r="N27" s="109"/>
      <c r="O27" s="66"/>
    </row>
    <row r="28" spans="1:27" ht="15" customHeight="1" thickBot="1" x14ac:dyDescent="0.35">
      <c r="A28" s="105" t="s">
        <v>35</v>
      </c>
      <c r="B28" s="66" t="s">
        <v>156</v>
      </c>
      <c r="C28" s="66"/>
      <c r="D28" s="66" t="s">
        <v>157</v>
      </c>
      <c r="E28" s="66"/>
      <c r="F28" s="66"/>
      <c r="G28" s="106" t="s">
        <v>158</v>
      </c>
      <c r="H28" s="107"/>
      <c r="I28" s="107"/>
      <c r="J28" s="107"/>
      <c r="K28" s="108"/>
      <c r="L28" s="116" t="s">
        <v>159</v>
      </c>
      <c r="M28" s="117">
        <v>0.6</v>
      </c>
      <c r="N28" s="109" t="s">
        <v>53</v>
      </c>
      <c r="O28" s="66"/>
    </row>
    <row r="29" spans="1:27" ht="15" customHeight="1" thickBot="1" x14ac:dyDescent="0.35">
      <c r="A29" s="105" t="s">
        <v>38</v>
      </c>
      <c r="B29" s="66" t="s">
        <v>160</v>
      </c>
      <c r="C29" s="66"/>
      <c r="D29" s="66" t="s">
        <v>157</v>
      </c>
      <c r="E29" s="66"/>
      <c r="F29" s="66"/>
      <c r="G29" s="106" t="s">
        <v>161</v>
      </c>
      <c r="H29" s="107"/>
      <c r="I29" s="107"/>
      <c r="J29" s="107"/>
      <c r="K29" s="108"/>
      <c r="L29" s="116" t="s">
        <v>159</v>
      </c>
      <c r="M29" s="117">
        <v>8.76</v>
      </c>
      <c r="N29" s="109" t="s">
        <v>53</v>
      </c>
      <c r="O29" s="66"/>
    </row>
    <row r="30" spans="1:27" ht="15" customHeight="1" thickBot="1" x14ac:dyDescent="0.35">
      <c r="A30" s="105" t="s">
        <v>40</v>
      </c>
      <c r="B30" s="66" t="s">
        <v>162</v>
      </c>
      <c r="C30" s="66"/>
      <c r="D30" s="66" t="s">
        <v>157</v>
      </c>
      <c r="E30" s="66"/>
      <c r="F30" s="66"/>
      <c r="G30" s="106" t="s">
        <v>158</v>
      </c>
      <c r="H30" s="107"/>
      <c r="I30" s="107"/>
      <c r="J30" s="107"/>
      <c r="K30" s="108"/>
      <c r="L30" s="116" t="s">
        <v>159</v>
      </c>
      <c r="M30" s="117">
        <v>0.6</v>
      </c>
      <c r="N30" s="109" t="s">
        <v>53</v>
      </c>
      <c r="O30" s="66"/>
    </row>
    <row r="31" spans="1:27" ht="4.1500000000000004" customHeight="1" thickBot="1" x14ac:dyDescent="0.35">
      <c r="A31" s="105"/>
      <c r="B31" s="66"/>
      <c r="C31" s="66"/>
      <c r="D31" s="66"/>
      <c r="E31" s="66"/>
      <c r="F31" s="66"/>
      <c r="G31" s="111"/>
      <c r="H31" s="111"/>
      <c r="I31" s="111"/>
      <c r="J31" s="111"/>
      <c r="K31" s="111"/>
      <c r="L31" s="111"/>
      <c r="M31" s="111"/>
      <c r="N31" s="109"/>
      <c r="O31" s="66"/>
    </row>
    <row r="32" spans="1:27" ht="15" customHeight="1" thickBot="1" x14ac:dyDescent="0.35">
      <c r="A32" s="105" t="s">
        <v>43</v>
      </c>
      <c r="B32" s="83" t="s">
        <v>163</v>
      </c>
      <c r="C32" s="83"/>
      <c r="D32" s="83"/>
      <c r="E32" s="83"/>
      <c r="F32" s="83"/>
      <c r="G32" s="66" t="s">
        <v>49</v>
      </c>
      <c r="H32" s="66"/>
      <c r="I32" s="69">
        <v>26.7</v>
      </c>
      <c r="J32" s="66" t="s">
        <v>53</v>
      </c>
      <c r="K32" s="70"/>
      <c r="L32" s="70" t="s">
        <v>51</v>
      </c>
      <c r="M32" s="69">
        <v>29.8</v>
      </c>
      <c r="N32" s="66" t="s">
        <v>53</v>
      </c>
      <c r="O32" s="66"/>
    </row>
    <row r="33" spans="1:15" ht="15" customHeight="1" thickBot="1" x14ac:dyDescent="0.35">
      <c r="A33" s="105"/>
      <c r="B33" s="66" t="s">
        <v>164</v>
      </c>
      <c r="C33" s="66"/>
      <c r="D33" s="66"/>
      <c r="E33" s="66"/>
      <c r="F33" s="66"/>
      <c r="G33" s="112"/>
      <c r="H33" s="112"/>
      <c r="I33" s="118"/>
      <c r="J33" s="112"/>
      <c r="K33" s="112"/>
      <c r="L33" s="112"/>
      <c r="M33" s="118"/>
      <c r="N33" s="109"/>
      <c r="O33" s="66"/>
    </row>
    <row r="34" spans="1:15" ht="15" customHeight="1" thickBot="1" x14ac:dyDescent="0.35">
      <c r="A34" s="105" t="s">
        <v>46</v>
      </c>
      <c r="B34" s="66" t="s">
        <v>165</v>
      </c>
      <c r="C34" s="66"/>
      <c r="D34" s="66" t="s">
        <v>157</v>
      </c>
      <c r="E34" s="66"/>
      <c r="F34" s="66"/>
      <c r="G34" s="106" t="s">
        <v>166</v>
      </c>
      <c r="H34" s="107"/>
      <c r="I34" s="107"/>
      <c r="J34" s="107"/>
      <c r="K34" s="108"/>
      <c r="L34" s="116" t="s">
        <v>159</v>
      </c>
      <c r="M34" s="117">
        <v>0.1</v>
      </c>
      <c r="N34" s="109" t="s">
        <v>53</v>
      </c>
      <c r="O34" s="66"/>
    </row>
    <row r="35" spans="1:15" ht="15" customHeight="1" thickBot="1" x14ac:dyDescent="0.35">
      <c r="A35" s="105" t="s">
        <v>167</v>
      </c>
      <c r="B35" s="66" t="s">
        <v>168</v>
      </c>
      <c r="C35" s="66"/>
      <c r="D35" s="66" t="s">
        <v>157</v>
      </c>
      <c r="E35" s="66"/>
      <c r="F35" s="66"/>
      <c r="G35" s="106" t="s">
        <v>169</v>
      </c>
      <c r="H35" s="107"/>
      <c r="I35" s="107"/>
      <c r="J35" s="107"/>
      <c r="K35" s="108"/>
      <c r="L35" s="116" t="s">
        <v>159</v>
      </c>
      <c r="M35" s="117">
        <v>0.2</v>
      </c>
      <c r="N35" s="109" t="s">
        <v>53</v>
      </c>
      <c r="O35" s="66"/>
    </row>
    <row r="36" spans="1:15" ht="15" customHeight="1" thickBot="1" x14ac:dyDescent="0.35">
      <c r="A36" s="105" t="s">
        <v>170</v>
      </c>
      <c r="B36" s="66" t="s">
        <v>171</v>
      </c>
      <c r="C36" s="66"/>
      <c r="D36" s="66" t="s">
        <v>157</v>
      </c>
      <c r="E36" s="66"/>
      <c r="F36" s="66"/>
      <c r="G36" s="106" t="s">
        <v>172</v>
      </c>
      <c r="H36" s="107"/>
      <c r="I36" s="107"/>
      <c r="J36" s="107"/>
      <c r="K36" s="108"/>
      <c r="L36" s="116" t="s">
        <v>159</v>
      </c>
      <c r="M36" s="117">
        <v>2.0299999999999998</v>
      </c>
      <c r="N36" s="109" t="s">
        <v>53</v>
      </c>
      <c r="O36" s="66"/>
    </row>
    <row r="37" spans="1:15" s="111" customFormat="1" ht="4.1500000000000004" customHeight="1" thickBot="1" x14ac:dyDescent="0.35">
      <c r="M37" s="119"/>
    </row>
    <row r="38" spans="1:15" ht="13.5" thickBot="1" x14ac:dyDescent="0.35">
      <c r="A38" s="105" t="s">
        <v>173</v>
      </c>
      <c r="B38" s="67" t="s">
        <v>174</v>
      </c>
      <c r="C38" s="66"/>
      <c r="D38" s="66"/>
      <c r="E38" s="66"/>
      <c r="F38" s="66"/>
      <c r="G38" s="66" t="s">
        <v>49</v>
      </c>
      <c r="H38" s="66"/>
      <c r="I38" s="69">
        <v>31</v>
      </c>
      <c r="J38" s="66" t="s">
        <v>53</v>
      </c>
      <c r="K38" s="70"/>
      <c r="L38" s="70" t="s">
        <v>51</v>
      </c>
      <c r="M38" s="69">
        <v>35</v>
      </c>
      <c r="N38" s="66" t="s">
        <v>53</v>
      </c>
      <c r="O38" s="66"/>
    </row>
    <row r="39" spans="1:15" ht="5.5" customHeight="1" thickBot="1" x14ac:dyDescent="0.35">
      <c r="A39" s="66"/>
      <c r="B39" s="66"/>
      <c r="C39" s="66"/>
      <c r="D39" s="66"/>
      <c r="E39" s="66"/>
      <c r="F39" s="66"/>
      <c r="G39" s="66"/>
      <c r="H39" s="66"/>
      <c r="I39" s="120"/>
      <c r="J39" s="66"/>
      <c r="K39" s="66"/>
      <c r="L39" s="66"/>
      <c r="M39" s="66"/>
      <c r="N39" s="66"/>
      <c r="O39" s="66"/>
    </row>
    <row r="40" spans="1:15" ht="15" customHeight="1" thickBot="1" x14ac:dyDescent="0.35">
      <c r="A40" s="66" t="s">
        <v>175</v>
      </c>
      <c r="B40" s="66" t="s">
        <v>34</v>
      </c>
      <c r="C40" s="66"/>
      <c r="D40" s="66"/>
      <c r="E40" s="66"/>
      <c r="F40" s="66"/>
      <c r="G40" s="106">
        <v>150</v>
      </c>
      <c r="H40" s="107"/>
      <c r="I40" s="107"/>
      <c r="J40" s="107"/>
      <c r="K40" s="107"/>
      <c r="L40" s="107"/>
      <c r="M40" s="108"/>
      <c r="N40" s="109" t="s">
        <v>32</v>
      </c>
      <c r="O40" s="66"/>
    </row>
    <row r="41" spans="1:15" ht="5.5" customHeight="1" thickBot="1" x14ac:dyDescent="0.35">
      <c r="A41" s="66"/>
      <c r="B41" s="66"/>
      <c r="C41" s="66"/>
      <c r="D41" s="66"/>
      <c r="E41" s="66"/>
      <c r="F41" s="66"/>
      <c r="G41" s="109"/>
      <c r="H41" s="109"/>
      <c r="I41" s="109"/>
      <c r="J41" s="109"/>
      <c r="K41" s="109"/>
      <c r="L41" s="109"/>
      <c r="M41" s="109"/>
      <c r="N41" s="109"/>
      <c r="O41" s="66"/>
    </row>
    <row r="42" spans="1:15" ht="15" customHeight="1" thickBot="1" x14ac:dyDescent="0.35">
      <c r="A42" s="66" t="s">
        <v>176</v>
      </c>
      <c r="B42" s="83" t="s">
        <v>177</v>
      </c>
      <c r="C42" s="83"/>
      <c r="D42" s="83"/>
      <c r="E42" s="83"/>
      <c r="F42" s="83"/>
      <c r="G42" s="83"/>
      <c r="H42" s="83"/>
      <c r="I42" s="83"/>
      <c r="J42" s="83"/>
      <c r="K42" s="87"/>
      <c r="L42" s="106">
        <v>198</v>
      </c>
      <c r="M42" s="108"/>
      <c r="N42" s="68" t="s">
        <v>178</v>
      </c>
      <c r="O42" s="66"/>
    </row>
    <row r="43" spans="1:15" ht="15" customHeight="1" thickBot="1" x14ac:dyDescent="0.35">
      <c r="A43" s="66"/>
      <c r="B43" s="83" t="s">
        <v>179</v>
      </c>
      <c r="C43" s="83"/>
      <c r="D43" s="83"/>
      <c r="E43" s="83"/>
      <c r="F43" s="83"/>
      <c r="G43" s="83"/>
      <c r="H43" s="83"/>
      <c r="I43" s="83"/>
      <c r="J43" s="83"/>
      <c r="K43" s="83"/>
      <c r="L43" s="106">
        <v>162</v>
      </c>
      <c r="M43" s="108"/>
      <c r="N43" s="68" t="s">
        <v>178</v>
      </c>
      <c r="O43" s="66"/>
    </row>
    <row r="44" spans="1:15" ht="15" customHeight="1" x14ac:dyDescent="0.3">
      <c r="A44" s="66"/>
      <c r="B44" s="83" t="s">
        <v>180</v>
      </c>
      <c r="C44" s="83"/>
      <c r="D44" s="83"/>
      <c r="E44" s="83"/>
      <c r="F44" s="83"/>
      <c r="G44" s="83"/>
      <c r="H44" s="83"/>
      <c r="I44" s="83"/>
      <c r="J44" s="83"/>
      <c r="K44" s="83"/>
      <c r="L44" s="109"/>
      <c r="M44" s="109"/>
      <c r="N44" s="109"/>
      <c r="O44" s="66"/>
    </row>
    <row r="45" spans="1:15" ht="15" customHeight="1" thickBot="1" x14ac:dyDescent="0.35">
      <c r="A45" s="66" t="s">
        <v>181</v>
      </c>
      <c r="B45" s="66" t="s">
        <v>182</v>
      </c>
      <c r="C45" s="66"/>
      <c r="D45" s="66"/>
      <c r="E45" s="66"/>
      <c r="F45" s="66"/>
      <c r="G45" s="109"/>
      <c r="H45" s="109"/>
      <c r="I45" s="109"/>
      <c r="J45" s="109"/>
      <c r="K45" s="109"/>
      <c r="L45" s="109"/>
      <c r="M45" s="109"/>
      <c r="N45" s="109"/>
      <c r="O45" s="66"/>
    </row>
    <row r="46" spans="1:15" ht="15" customHeight="1" thickBot="1" x14ac:dyDescent="0.35">
      <c r="A46" s="66"/>
      <c r="B46" s="66"/>
      <c r="C46" s="67" t="s">
        <v>183</v>
      </c>
      <c r="D46" s="66"/>
      <c r="E46" s="66"/>
      <c r="F46" s="66"/>
      <c r="G46" s="106">
        <v>20</v>
      </c>
      <c r="H46" s="107"/>
      <c r="I46" s="107"/>
      <c r="J46" s="107"/>
      <c r="K46" s="107"/>
      <c r="L46" s="108"/>
      <c r="M46" s="66" t="s">
        <v>184</v>
      </c>
      <c r="N46" s="66"/>
      <c r="O46" s="66"/>
    </row>
    <row r="47" spans="1:15" ht="15" customHeight="1" thickBot="1" x14ac:dyDescent="0.35">
      <c r="A47" s="66"/>
      <c r="B47" s="66"/>
      <c r="C47" s="67" t="s">
        <v>185</v>
      </c>
      <c r="D47" s="66"/>
      <c r="E47" s="66"/>
      <c r="F47" s="66"/>
      <c r="G47" s="106">
        <v>15</v>
      </c>
      <c r="H47" s="107"/>
      <c r="I47" s="107"/>
      <c r="J47" s="107"/>
      <c r="K47" s="107"/>
      <c r="L47" s="108"/>
      <c r="M47" s="66" t="s">
        <v>184</v>
      </c>
      <c r="N47" s="109"/>
      <c r="O47" s="66"/>
    </row>
    <row r="48" spans="1:15" ht="15" customHeight="1" thickBot="1" x14ac:dyDescent="0.35">
      <c r="A48" s="66" t="s">
        <v>186</v>
      </c>
      <c r="B48" s="66" t="s">
        <v>187</v>
      </c>
      <c r="C48" s="66"/>
      <c r="D48" s="66"/>
      <c r="E48" s="66"/>
      <c r="F48" s="66"/>
      <c r="G48" s="106">
        <v>0.52400000000000002</v>
      </c>
      <c r="H48" s="107"/>
      <c r="I48" s="107"/>
      <c r="J48" s="107"/>
      <c r="K48" s="107"/>
      <c r="L48" s="108"/>
      <c r="M48" s="66" t="s">
        <v>188</v>
      </c>
      <c r="N48" s="109"/>
      <c r="O48" s="66"/>
    </row>
    <row r="49" spans="1:15" ht="15" customHeight="1" thickBot="1" x14ac:dyDescent="0.35">
      <c r="A49" s="66" t="s">
        <v>189</v>
      </c>
      <c r="B49" s="66" t="s">
        <v>190</v>
      </c>
      <c r="C49" s="66"/>
      <c r="D49" s="66"/>
      <c r="E49" s="66"/>
      <c r="F49" s="66"/>
      <c r="G49" s="84">
        <v>1000</v>
      </c>
      <c r="H49" s="85"/>
      <c r="I49" s="85"/>
      <c r="J49" s="85"/>
      <c r="K49" s="85"/>
      <c r="L49" s="86"/>
      <c r="M49" s="68" t="s">
        <v>191</v>
      </c>
      <c r="N49" s="109"/>
      <c r="O49" s="66"/>
    </row>
    <row r="50" spans="1:15" x14ac:dyDescent="0.3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66"/>
    </row>
    <row r="51" spans="1:15" x14ac:dyDescent="0.3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</row>
    <row r="52" spans="1:15" ht="16.149999999999999" customHeight="1" x14ac:dyDescent="0.3">
      <c r="A52" s="122" t="s">
        <v>125</v>
      </c>
      <c r="B52" s="122"/>
      <c r="C52" s="90" t="s">
        <v>192</v>
      </c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66"/>
    </row>
    <row r="53" spans="1:15" ht="16.149999999999999" customHeight="1" x14ac:dyDescent="0.3">
      <c r="A53" s="122" t="s">
        <v>128</v>
      </c>
      <c r="B53" s="122"/>
      <c r="C53" s="90" t="s">
        <v>193</v>
      </c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66"/>
    </row>
    <row r="63" spans="1:15" hidden="1" x14ac:dyDescent="0.3">
      <c r="B63" s="49" t="s">
        <v>194</v>
      </c>
    </row>
    <row r="64" spans="1:15" hidden="1" x14ac:dyDescent="0.3">
      <c r="B64" s="49" t="s">
        <v>195</v>
      </c>
    </row>
    <row r="65" spans="2:2" hidden="1" x14ac:dyDescent="0.3">
      <c r="B65" s="49" t="s">
        <v>196</v>
      </c>
    </row>
    <row r="66" spans="2:2" hidden="1" x14ac:dyDescent="0.3">
      <c r="B66" s="49" t="s">
        <v>54</v>
      </c>
    </row>
  </sheetData>
  <sheetProtection algorithmName="SHA-512" hashValue="+lXBXV+sd2alJgTNFfq1M/felNNttpTeZ0xqmekF3puqovqZ5WjbVfdNONpNaFRmVy6BBuofSzfpednuzNEM1A==" saltValue="ae5ejsAwR3fD16Utg75Pag==" spinCount="100000" sheet="1" formatColumns="0" formatRows="0"/>
  <mergeCells count="37">
    <mergeCell ref="G47:L47"/>
    <mergeCell ref="G48:L48"/>
    <mergeCell ref="G49:L49"/>
    <mergeCell ref="A52:B52"/>
    <mergeCell ref="C52:N52"/>
    <mergeCell ref="A53:B53"/>
    <mergeCell ref="C53:N53"/>
    <mergeCell ref="B42:K42"/>
    <mergeCell ref="L42:M42"/>
    <mergeCell ref="B43:K43"/>
    <mergeCell ref="L43:M43"/>
    <mergeCell ref="B44:K44"/>
    <mergeCell ref="G46:L46"/>
    <mergeCell ref="G30:K30"/>
    <mergeCell ref="B32:F32"/>
    <mergeCell ref="G34:K34"/>
    <mergeCell ref="G35:K35"/>
    <mergeCell ref="G36:K36"/>
    <mergeCell ref="G40:M40"/>
    <mergeCell ref="G21:L21"/>
    <mergeCell ref="G22:L22"/>
    <mergeCell ref="G23:L23"/>
    <mergeCell ref="G24:L24"/>
    <mergeCell ref="G28:K28"/>
    <mergeCell ref="G29:K29"/>
    <mergeCell ref="G11:M11"/>
    <mergeCell ref="G12:M12"/>
    <mergeCell ref="G14:M14"/>
    <mergeCell ref="G16:M16"/>
    <mergeCell ref="G18:N18"/>
    <mergeCell ref="G20:L20"/>
    <mergeCell ref="A1:N1"/>
    <mergeCell ref="M2:N2"/>
    <mergeCell ref="M3:N3"/>
    <mergeCell ref="K6:N6"/>
    <mergeCell ref="C7:D7"/>
    <mergeCell ref="J7:N7"/>
  </mergeCells>
  <conditionalFormatting sqref="A1 O1:XFD3 A2:M3 AB13:XFD23 M20:R23 A20:F25 M24:XFD25 M27:XFD27 A27:F36 N28:XFD31 N33:XFD36 A52:A53 A54:XFD54 A55:A59 C55:XFD59 A60:XFD65 B66 A66:A67 C66:XFD67 A68:XFD1048576">
    <cfRule type="expression" dxfId="86" priority="12">
      <formula>CELL("protect", INDIRECT(ADDRESS(ROW(), COLUMN())))=0</formula>
    </cfRule>
  </conditionalFormatting>
  <conditionalFormatting sqref="A26:B26">
    <cfRule type="expression" dxfId="85" priority="8">
      <formula>CELL("protect", INDIRECT(ADDRESS(ROW(), COLUMN())))=0</formula>
    </cfRule>
  </conditionalFormatting>
  <conditionalFormatting sqref="A13:R19">
    <cfRule type="expression" dxfId="84" priority="5">
      <formula>CELL("protect", INDIRECT(ADDRESS(ROW(), COLUMN())))=0</formula>
    </cfRule>
  </conditionalFormatting>
  <conditionalFormatting sqref="A4:XFD12">
    <cfRule type="expression" dxfId="83" priority="6">
      <formula>CELL("protect", INDIRECT(ADDRESS(ROW(), COLUMN())))=0</formula>
    </cfRule>
  </conditionalFormatting>
  <conditionalFormatting sqref="A38:XFD51">
    <cfRule type="expression" dxfId="82" priority="1">
      <formula>CELL("protect", INDIRECT(ADDRESS(ROW(), COLUMN())))=0</formula>
    </cfRule>
  </conditionalFormatting>
  <conditionalFormatting sqref="C52:XFD53">
    <cfRule type="expression" dxfId="81" priority="9">
      <formula>CELL("protect", INDIRECT(ADDRESS(ROW(), COLUMN())))=0</formula>
    </cfRule>
  </conditionalFormatting>
  <conditionalFormatting sqref="G18">
    <cfRule type="expression" dxfId="80" priority="11">
      <formula>CELL("protect", INDIRECT(ADDRESS(ROW(), COLUMN())))=0</formula>
    </cfRule>
  </conditionalFormatting>
  <conditionalFormatting sqref="G20:L24">
    <cfRule type="expression" dxfId="79" priority="4">
      <formula>CELL("protect", INDIRECT(ADDRESS(ROW(), COLUMN())))=0</formula>
    </cfRule>
  </conditionalFormatting>
  <conditionalFormatting sqref="G28:M30">
    <cfRule type="expression" dxfId="78" priority="3">
      <formula>CELL("protect", INDIRECT(ADDRESS(ROW(), COLUMN())))=0</formula>
    </cfRule>
  </conditionalFormatting>
  <conditionalFormatting sqref="G34:M36">
    <cfRule type="expression" dxfId="77" priority="2">
      <formula>CELL("protect", INDIRECT(ADDRESS(ROW(), COLUMN())))=0</formula>
    </cfRule>
  </conditionalFormatting>
  <conditionalFormatting sqref="G26:XFD26">
    <cfRule type="expression" dxfId="76" priority="7">
      <formula>CELL("protect", INDIRECT(ADDRESS(ROW(), COLUMN())))=0</formula>
    </cfRule>
  </conditionalFormatting>
  <conditionalFormatting sqref="G32:XFD32">
    <cfRule type="expression" dxfId="75" priority="10">
      <formula>CELL("protect", INDIRECT(ADDRESS(ROW(), COLUMN())))=0</formula>
    </cfRule>
  </conditionalFormatting>
  <dataValidations count="1">
    <dataValidation type="list" allowBlank="1" showInputMessage="1" showErrorMessage="1" sqref="G16:M16" xr:uid="{7F8EDCFE-3E7F-416A-8888-3C0277ECD61F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Footer>&amp;C- Part 2-C27- (Rev.1)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446B-ABB5-4142-BCD9-E49B5AF7D17A}">
  <dimension ref="A1:AA66"/>
  <sheetViews>
    <sheetView view="pageBreakPreview" topLeftCell="A31" zoomScaleNormal="85" zoomScaleSheetLayoutView="100" workbookViewId="0">
      <selection activeCell="H46" sqref="H46:U46"/>
    </sheetView>
  </sheetViews>
  <sheetFormatPr defaultColWidth="8.90625" defaultRowHeight="13" x14ac:dyDescent="0.3"/>
  <cols>
    <col min="1" max="1" width="2.26953125" style="30" customWidth="1"/>
    <col min="2" max="2" width="6.36328125" style="30" customWidth="1"/>
    <col min="3" max="4" width="12.81640625" style="30" customWidth="1"/>
    <col min="5" max="5" width="22.81640625" style="30" customWidth="1"/>
    <col min="6" max="6" width="3.36328125" style="30" customWidth="1"/>
    <col min="7" max="7" width="2.90625" style="30" customWidth="1"/>
    <col min="8" max="8" width="1.08984375" style="30" customWidth="1"/>
    <col min="9" max="9" width="14.26953125" style="30" customWidth="1"/>
    <col min="10" max="10" width="3.36328125" style="30" customWidth="1"/>
    <col min="11" max="11" width="7" style="30" customWidth="1"/>
    <col min="12" max="12" width="2.08984375" style="30" customWidth="1"/>
    <col min="13" max="13" width="15.7265625" style="30" customWidth="1"/>
    <col min="14" max="14" width="3.36328125" style="30" customWidth="1"/>
    <col min="15" max="16384" width="8.90625" style="30"/>
  </cols>
  <sheetData>
    <row r="1" spans="1:27" ht="22.9" customHeight="1" x14ac:dyDescent="0.3">
      <c r="A1" s="29" t="s">
        <v>137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4"/>
    </row>
    <row r="2" spans="1:27" ht="13.15" customHeight="1" x14ac:dyDescent="0.3">
      <c r="M2" s="102" t="s">
        <v>138</v>
      </c>
      <c r="N2" s="102"/>
      <c r="O2" s="62"/>
    </row>
    <row r="3" spans="1:27" ht="13.15" customHeight="1" x14ac:dyDescent="0.3">
      <c r="M3" s="60" t="s">
        <v>139</v>
      </c>
      <c r="N3" s="60"/>
      <c r="O3" s="62"/>
    </row>
    <row r="4" spans="1:27" ht="7.15" customHeight="1" x14ac:dyDescent="0.3"/>
    <row r="5" spans="1:27" ht="13.5" thickBot="1" x14ac:dyDescent="0.35">
      <c r="A5" s="34" t="s">
        <v>3</v>
      </c>
      <c r="G5" s="34"/>
    </row>
    <row r="6" spans="1:27" ht="13.5" thickBot="1" x14ac:dyDescent="0.35">
      <c r="A6" s="34" t="s">
        <v>4</v>
      </c>
      <c r="C6" s="103"/>
      <c r="D6" s="103"/>
      <c r="E6" s="36" t="s">
        <v>5</v>
      </c>
      <c r="G6" s="34" t="s">
        <v>6</v>
      </c>
      <c r="K6" s="40" t="s">
        <v>140</v>
      </c>
      <c r="L6" s="42"/>
      <c r="M6" s="42"/>
      <c r="N6" s="41"/>
    </row>
    <row r="7" spans="1:27" ht="13.5" thickBot="1" x14ac:dyDescent="0.35">
      <c r="A7" s="34" t="s">
        <v>8</v>
      </c>
      <c r="C7" s="40" t="s">
        <v>141</v>
      </c>
      <c r="D7" s="41"/>
      <c r="E7" s="104"/>
      <c r="G7" s="34" t="s">
        <v>10</v>
      </c>
      <c r="J7" s="40" t="s">
        <v>142</v>
      </c>
      <c r="K7" s="42"/>
      <c r="L7" s="42"/>
      <c r="M7" s="42"/>
      <c r="N7" s="41"/>
    </row>
    <row r="8" spans="1:27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1:27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</row>
    <row r="10" spans="1:27" ht="13.5" thickBot="1" x14ac:dyDescent="0.35">
      <c r="A10" s="105" t="s">
        <v>12</v>
      </c>
      <c r="B10" s="66" t="s">
        <v>13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27" ht="13.5" thickBot="1" x14ac:dyDescent="0.35">
      <c r="A11" s="105"/>
      <c r="B11" s="67"/>
      <c r="C11" s="67" t="s">
        <v>15</v>
      </c>
      <c r="D11" s="66"/>
      <c r="E11" s="66"/>
      <c r="F11" s="66"/>
      <c r="G11" s="84" t="s">
        <v>197</v>
      </c>
      <c r="H11" s="85"/>
      <c r="I11" s="85"/>
      <c r="J11" s="85"/>
      <c r="K11" s="85"/>
      <c r="L11" s="85"/>
      <c r="M11" s="86"/>
      <c r="N11" s="109"/>
      <c r="O11" s="66"/>
    </row>
    <row r="12" spans="1:27" ht="13.5" thickBot="1" x14ac:dyDescent="0.35">
      <c r="A12" s="105"/>
      <c r="B12" s="67"/>
      <c r="C12" s="67" t="s">
        <v>17</v>
      </c>
      <c r="D12" s="66"/>
      <c r="E12" s="66"/>
      <c r="F12" s="66"/>
      <c r="G12" s="84" t="s">
        <v>144</v>
      </c>
      <c r="H12" s="85"/>
      <c r="I12" s="85"/>
      <c r="J12" s="85"/>
      <c r="K12" s="85"/>
      <c r="L12" s="85"/>
      <c r="M12" s="86"/>
      <c r="N12" s="109"/>
      <c r="O12" s="66"/>
    </row>
    <row r="13" spans="1:27" ht="7.15" customHeight="1" thickBot="1" x14ac:dyDescent="0.35">
      <c r="A13" s="105"/>
      <c r="B13" s="67"/>
      <c r="C13" s="67"/>
      <c r="D13" s="66"/>
      <c r="E13" s="66"/>
      <c r="F13" s="66"/>
      <c r="G13" s="110"/>
      <c r="H13" s="110"/>
      <c r="I13" s="110"/>
      <c r="J13" s="110"/>
      <c r="K13" s="110"/>
      <c r="L13" s="110"/>
      <c r="M13" s="110"/>
      <c r="N13" s="109"/>
      <c r="O13" s="66"/>
      <c r="S13" s="111"/>
      <c r="T13" s="111"/>
      <c r="U13" s="111"/>
      <c r="V13" s="111"/>
      <c r="W13" s="111"/>
      <c r="X13" s="111"/>
      <c r="Y13" s="111"/>
      <c r="Z13" s="111"/>
      <c r="AA13" s="111"/>
    </row>
    <row r="14" spans="1:27" ht="14.5" thickBot="1" x14ac:dyDescent="0.35">
      <c r="A14" s="105" t="s">
        <v>19</v>
      </c>
      <c r="B14" s="66" t="s">
        <v>20</v>
      </c>
      <c r="C14" s="66"/>
      <c r="D14" s="66"/>
      <c r="E14" s="66"/>
      <c r="F14" s="66"/>
      <c r="G14" s="84" t="s">
        <v>198</v>
      </c>
      <c r="H14" s="85"/>
      <c r="I14" s="85"/>
      <c r="J14" s="85"/>
      <c r="K14" s="85"/>
      <c r="L14" s="85"/>
      <c r="M14" s="86"/>
      <c r="N14" s="109"/>
      <c r="O14" s="66"/>
      <c r="S14" s="111"/>
      <c r="T14" s="111"/>
      <c r="U14" s="111"/>
      <c r="V14" s="111"/>
      <c r="W14" s="111"/>
      <c r="X14" s="111"/>
      <c r="Y14" s="111"/>
      <c r="Z14" s="111"/>
      <c r="AA14" s="111"/>
    </row>
    <row r="15" spans="1:27" ht="7.15" customHeight="1" thickBot="1" x14ac:dyDescent="0.35">
      <c r="A15" s="105"/>
      <c r="B15" s="66"/>
      <c r="C15" s="66"/>
      <c r="D15" s="66"/>
      <c r="E15" s="66"/>
      <c r="F15" s="66"/>
      <c r="G15" s="109"/>
      <c r="H15" s="109"/>
      <c r="I15" s="109"/>
      <c r="J15" s="109"/>
      <c r="K15" s="109"/>
      <c r="L15" s="109"/>
      <c r="M15" s="109"/>
      <c r="N15" s="109"/>
      <c r="O15" s="66"/>
      <c r="S15" s="111"/>
      <c r="T15" s="111"/>
      <c r="U15" s="111"/>
      <c r="V15" s="111"/>
      <c r="W15" s="111"/>
      <c r="X15" s="111"/>
      <c r="Y15" s="111"/>
      <c r="Z15" s="111"/>
      <c r="AA15" s="111"/>
    </row>
    <row r="16" spans="1:27" ht="15" customHeight="1" thickBot="1" x14ac:dyDescent="0.35">
      <c r="A16" s="105" t="s">
        <v>22</v>
      </c>
      <c r="B16" s="66" t="s">
        <v>23</v>
      </c>
      <c r="C16" s="66"/>
      <c r="D16" s="66"/>
      <c r="E16" s="66"/>
      <c r="F16" s="66"/>
      <c r="G16" s="113" t="s">
        <v>194</v>
      </c>
      <c r="H16" s="114"/>
      <c r="I16" s="114"/>
      <c r="J16" s="114"/>
      <c r="K16" s="114"/>
      <c r="L16" s="114"/>
      <c r="M16" s="115"/>
      <c r="N16" s="112"/>
      <c r="O16" s="66"/>
      <c r="S16" s="111"/>
      <c r="T16" s="111"/>
      <c r="U16" s="111"/>
      <c r="V16" s="111"/>
      <c r="W16" s="111"/>
      <c r="X16" s="111"/>
      <c r="Y16" s="111"/>
      <c r="Z16" s="111"/>
      <c r="AA16" s="111"/>
    </row>
    <row r="17" spans="1:27" ht="15" customHeight="1" thickBot="1" x14ac:dyDescent="0.35">
      <c r="A17" s="105"/>
      <c r="B17" s="66"/>
      <c r="C17" s="66"/>
      <c r="D17" s="66"/>
      <c r="E17" s="66"/>
      <c r="F17" s="66"/>
      <c r="G17" s="66" t="s">
        <v>25</v>
      </c>
      <c r="H17" s="66"/>
      <c r="I17" s="68"/>
      <c r="J17" s="68"/>
      <c r="K17" s="68"/>
      <c r="L17" s="68"/>
      <c r="M17" s="68"/>
      <c r="N17" s="68"/>
      <c r="O17" s="66"/>
      <c r="S17" s="111"/>
      <c r="T17" s="111"/>
      <c r="U17" s="111"/>
      <c r="V17" s="111"/>
      <c r="W17" s="111"/>
      <c r="X17" s="111"/>
      <c r="Y17" s="111"/>
      <c r="Z17" s="111"/>
      <c r="AA17" s="111"/>
    </row>
    <row r="18" spans="1:27" ht="37.9" customHeight="1" thickBot="1" x14ac:dyDescent="0.35">
      <c r="A18" s="105"/>
      <c r="B18" s="66"/>
      <c r="C18" s="66"/>
      <c r="D18" s="66"/>
      <c r="E18" s="66"/>
      <c r="F18" s="66"/>
      <c r="G18" s="113"/>
      <c r="H18" s="114"/>
      <c r="I18" s="114"/>
      <c r="J18" s="114"/>
      <c r="K18" s="114"/>
      <c r="L18" s="114"/>
      <c r="M18" s="114"/>
      <c r="N18" s="115"/>
      <c r="O18" s="66"/>
      <c r="S18" s="111"/>
      <c r="T18" s="111"/>
      <c r="U18" s="111"/>
      <c r="V18" s="111"/>
      <c r="W18" s="111"/>
      <c r="X18" s="111"/>
      <c r="Y18" s="111"/>
      <c r="Z18" s="111"/>
      <c r="AA18" s="111"/>
    </row>
    <row r="19" spans="1:27" ht="7.15" customHeight="1" thickBot="1" x14ac:dyDescent="0.35">
      <c r="A19" s="105"/>
      <c r="B19" s="66"/>
      <c r="C19" s="66"/>
      <c r="D19" s="66"/>
      <c r="E19" s="66"/>
      <c r="F19" s="66"/>
      <c r="G19" s="109"/>
      <c r="H19" s="109"/>
      <c r="I19" s="109"/>
      <c r="J19" s="109"/>
      <c r="K19" s="109"/>
      <c r="L19" s="109"/>
      <c r="M19" s="109"/>
      <c r="N19" s="109"/>
      <c r="O19" s="66"/>
      <c r="S19" s="111"/>
      <c r="T19" s="111"/>
      <c r="U19" s="111"/>
      <c r="V19" s="111"/>
      <c r="W19" s="111"/>
      <c r="X19" s="111"/>
      <c r="Y19" s="111"/>
      <c r="Z19" s="111"/>
      <c r="AA19" s="111"/>
    </row>
    <row r="20" spans="1:27" ht="15" customHeight="1" thickBot="1" x14ac:dyDescent="0.35">
      <c r="A20" s="105" t="s">
        <v>26</v>
      </c>
      <c r="B20" s="66" t="s">
        <v>147</v>
      </c>
      <c r="C20" s="66"/>
      <c r="D20" s="66"/>
      <c r="E20" s="66"/>
      <c r="F20" s="66"/>
      <c r="G20" s="84">
        <v>25</v>
      </c>
      <c r="H20" s="85"/>
      <c r="I20" s="85"/>
      <c r="J20" s="85"/>
      <c r="K20" s="85"/>
      <c r="L20" s="86"/>
      <c r="M20" s="68" t="s">
        <v>32</v>
      </c>
      <c r="N20" s="109"/>
      <c r="O20" s="66"/>
      <c r="S20" s="111"/>
      <c r="T20" s="111"/>
      <c r="U20" s="111"/>
      <c r="V20" s="111"/>
      <c r="W20" s="111"/>
      <c r="X20" s="111"/>
      <c r="Y20" s="111"/>
      <c r="Z20" s="111"/>
      <c r="AA20" s="111"/>
    </row>
    <row r="21" spans="1:27" ht="15" customHeight="1" thickBot="1" x14ac:dyDescent="0.35">
      <c r="A21" s="105" t="s">
        <v>29</v>
      </c>
      <c r="B21" s="66" t="s">
        <v>148</v>
      </c>
      <c r="C21" s="66"/>
      <c r="D21" s="66"/>
      <c r="E21" s="66"/>
      <c r="F21" s="66"/>
      <c r="G21" s="84">
        <v>35.700000000000003</v>
      </c>
      <c r="H21" s="85"/>
      <c r="I21" s="85"/>
      <c r="J21" s="85"/>
      <c r="K21" s="85"/>
      <c r="L21" s="86"/>
      <c r="M21" s="66" t="s">
        <v>149</v>
      </c>
      <c r="N21" s="109"/>
      <c r="O21" s="66"/>
      <c r="S21" s="111"/>
      <c r="T21" s="111"/>
      <c r="U21" s="111"/>
      <c r="V21" s="111"/>
      <c r="W21" s="111"/>
      <c r="X21" s="111"/>
      <c r="Y21" s="111"/>
      <c r="Z21" s="111"/>
      <c r="AA21" s="111"/>
    </row>
    <row r="22" spans="1:27" ht="15" customHeight="1" thickBot="1" x14ac:dyDescent="0.35">
      <c r="A22" s="105"/>
      <c r="B22" s="66"/>
      <c r="C22" s="67" t="s">
        <v>150</v>
      </c>
      <c r="D22" s="66"/>
      <c r="E22" s="66"/>
      <c r="F22" s="66"/>
      <c r="G22" s="84" t="s">
        <v>199</v>
      </c>
      <c r="H22" s="85"/>
      <c r="I22" s="85"/>
      <c r="J22" s="85"/>
      <c r="K22" s="85"/>
      <c r="L22" s="86"/>
      <c r="M22" s="68"/>
      <c r="N22" s="109"/>
      <c r="O22" s="66"/>
      <c r="S22" s="111"/>
      <c r="T22" s="111"/>
      <c r="U22" s="111"/>
      <c r="V22" s="111"/>
      <c r="W22" s="111"/>
      <c r="X22" s="111"/>
      <c r="Y22" s="111"/>
      <c r="Z22" s="111"/>
      <c r="AA22" s="111"/>
    </row>
    <row r="23" spans="1:27" ht="15" customHeight="1" thickBot="1" x14ac:dyDescent="0.35">
      <c r="A23" s="105"/>
      <c r="B23" s="66"/>
      <c r="C23" s="67" t="s">
        <v>152</v>
      </c>
      <c r="D23" s="66"/>
      <c r="E23" s="66"/>
      <c r="F23" s="66"/>
      <c r="G23" s="84">
        <v>7</v>
      </c>
      <c r="H23" s="85"/>
      <c r="I23" s="85"/>
      <c r="J23" s="85"/>
      <c r="K23" s="85"/>
      <c r="L23" s="86"/>
      <c r="M23" s="68"/>
      <c r="N23" s="109"/>
      <c r="O23" s="66"/>
      <c r="S23" s="111"/>
      <c r="T23" s="111"/>
      <c r="U23" s="111"/>
      <c r="V23" s="111"/>
      <c r="W23" s="111"/>
      <c r="X23" s="111"/>
      <c r="Y23" s="111"/>
      <c r="Z23" s="111"/>
      <c r="AA23" s="111"/>
    </row>
    <row r="24" spans="1:27" ht="15" customHeight="1" thickBot="1" x14ac:dyDescent="0.35">
      <c r="A24" s="105"/>
      <c r="B24" s="66"/>
      <c r="C24" s="67" t="s">
        <v>153</v>
      </c>
      <c r="D24" s="66"/>
      <c r="E24" s="66"/>
      <c r="F24" s="66"/>
      <c r="G24" s="84">
        <v>2.65</v>
      </c>
      <c r="H24" s="85"/>
      <c r="I24" s="85"/>
      <c r="J24" s="85"/>
      <c r="K24" s="85"/>
      <c r="L24" s="86"/>
      <c r="M24" s="68" t="s">
        <v>53</v>
      </c>
      <c r="N24" s="109"/>
      <c r="O24" s="66"/>
    </row>
    <row r="25" spans="1:27" ht="5.5" customHeight="1" thickBot="1" x14ac:dyDescent="0.35">
      <c r="A25" s="105"/>
      <c r="B25" s="66"/>
      <c r="C25" s="67"/>
      <c r="D25" s="66"/>
      <c r="E25" s="66"/>
      <c r="F25" s="66"/>
      <c r="G25" s="111"/>
      <c r="H25" s="111"/>
      <c r="I25" s="111"/>
      <c r="J25" s="111"/>
      <c r="K25" s="111"/>
      <c r="L25" s="111"/>
      <c r="M25" s="68"/>
      <c r="N25" s="109"/>
      <c r="O25" s="66"/>
    </row>
    <row r="26" spans="1:27" ht="15" customHeight="1" thickBot="1" x14ac:dyDescent="0.35">
      <c r="A26" s="105" t="s">
        <v>33</v>
      </c>
      <c r="B26" s="66" t="s">
        <v>155</v>
      </c>
      <c r="C26" s="112"/>
      <c r="D26" s="112"/>
      <c r="E26" s="112"/>
      <c r="F26" s="112"/>
      <c r="G26" s="66" t="s">
        <v>49</v>
      </c>
      <c r="H26" s="66"/>
      <c r="I26" s="69">
        <v>6.88</v>
      </c>
      <c r="J26" s="66" t="s">
        <v>53</v>
      </c>
      <c r="K26" s="70"/>
      <c r="L26" s="70" t="s">
        <v>51</v>
      </c>
      <c r="M26" s="69">
        <v>7.02</v>
      </c>
      <c r="N26" s="66" t="s">
        <v>53</v>
      </c>
      <c r="O26" s="66"/>
    </row>
    <row r="27" spans="1:27" ht="4.1500000000000004" customHeight="1" thickBot="1" x14ac:dyDescent="0.35">
      <c r="A27" s="105"/>
      <c r="B27" s="66"/>
      <c r="C27" s="66"/>
      <c r="D27" s="66"/>
      <c r="E27" s="66"/>
      <c r="F27" s="66"/>
      <c r="G27" s="112"/>
      <c r="H27" s="112"/>
      <c r="I27" s="112"/>
      <c r="J27" s="112"/>
      <c r="K27" s="112"/>
      <c r="L27" s="112"/>
      <c r="M27" s="68"/>
      <c r="N27" s="109"/>
      <c r="O27" s="66"/>
    </row>
    <row r="28" spans="1:27" ht="15" customHeight="1" thickBot="1" x14ac:dyDescent="0.35">
      <c r="A28" s="105" t="s">
        <v>35</v>
      </c>
      <c r="B28" s="66" t="s">
        <v>156</v>
      </c>
      <c r="C28" s="66"/>
      <c r="D28" s="66" t="s">
        <v>157</v>
      </c>
      <c r="E28" s="66"/>
      <c r="F28" s="66"/>
      <c r="G28" s="84" t="s">
        <v>158</v>
      </c>
      <c r="H28" s="85"/>
      <c r="I28" s="85"/>
      <c r="J28" s="85"/>
      <c r="K28" s="86"/>
      <c r="L28" s="116" t="s">
        <v>159</v>
      </c>
      <c r="M28" s="123">
        <v>0.6</v>
      </c>
      <c r="N28" s="109" t="s">
        <v>53</v>
      </c>
      <c r="O28" s="66"/>
    </row>
    <row r="29" spans="1:27" ht="15" customHeight="1" thickBot="1" x14ac:dyDescent="0.35">
      <c r="A29" s="105" t="s">
        <v>38</v>
      </c>
      <c r="B29" s="66" t="s">
        <v>160</v>
      </c>
      <c r="C29" s="66"/>
      <c r="D29" s="66" t="s">
        <v>157</v>
      </c>
      <c r="E29" s="66"/>
      <c r="F29" s="66"/>
      <c r="G29" s="84" t="s">
        <v>161</v>
      </c>
      <c r="H29" s="85"/>
      <c r="I29" s="85"/>
      <c r="J29" s="85"/>
      <c r="K29" s="86"/>
      <c r="L29" s="116" t="s">
        <v>159</v>
      </c>
      <c r="M29" s="123">
        <v>8.76</v>
      </c>
      <c r="N29" s="109" t="s">
        <v>53</v>
      </c>
      <c r="O29" s="66"/>
    </row>
    <row r="30" spans="1:27" ht="15" customHeight="1" thickBot="1" x14ac:dyDescent="0.35">
      <c r="A30" s="105" t="s">
        <v>40</v>
      </c>
      <c r="B30" s="66" t="s">
        <v>162</v>
      </c>
      <c r="C30" s="66"/>
      <c r="D30" s="66" t="s">
        <v>157</v>
      </c>
      <c r="E30" s="66"/>
      <c r="F30" s="66"/>
      <c r="G30" s="84" t="s">
        <v>158</v>
      </c>
      <c r="H30" s="85"/>
      <c r="I30" s="85"/>
      <c r="J30" s="85"/>
      <c r="K30" s="86"/>
      <c r="L30" s="116" t="s">
        <v>159</v>
      </c>
      <c r="M30" s="123">
        <v>0.7</v>
      </c>
      <c r="N30" s="109" t="s">
        <v>53</v>
      </c>
      <c r="O30" s="66"/>
    </row>
    <row r="31" spans="1:27" ht="4.1500000000000004" customHeight="1" thickBot="1" x14ac:dyDescent="0.35">
      <c r="A31" s="105"/>
      <c r="B31" s="66"/>
      <c r="C31" s="66"/>
      <c r="D31" s="66"/>
      <c r="E31" s="66"/>
      <c r="F31" s="66"/>
      <c r="G31" s="111"/>
      <c r="H31" s="111"/>
      <c r="I31" s="111"/>
      <c r="J31" s="111"/>
      <c r="K31" s="111"/>
      <c r="L31" s="111"/>
      <c r="M31" s="111"/>
      <c r="N31" s="109"/>
      <c r="O31" s="66"/>
    </row>
    <row r="32" spans="1:27" ht="15" customHeight="1" thickBot="1" x14ac:dyDescent="0.35">
      <c r="A32" s="105" t="s">
        <v>43</v>
      </c>
      <c r="B32" s="83" t="s">
        <v>163</v>
      </c>
      <c r="C32" s="83"/>
      <c r="D32" s="83"/>
      <c r="E32" s="83"/>
      <c r="F32" s="83"/>
      <c r="G32" s="66" t="s">
        <v>49</v>
      </c>
      <c r="H32" s="66"/>
      <c r="I32" s="69">
        <v>25.5</v>
      </c>
      <c r="J32" s="66" t="s">
        <v>53</v>
      </c>
      <c r="K32" s="70"/>
      <c r="L32" s="70" t="s">
        <v>51</v>
      </c>
      <c r="M32" s="69">
        <v>27.5</v>
      </c>
      <c r="N32" s="66" t="s">
        <v>53</v>
      </c>
      <c r="O32" s="66"/>
    </row>
    <row r="33" spans="1:15" ht="15" customHeight="1" thickBot="1" x14ac:dyDescent="0.35">
      <c r="A33" s="105"/>
      <c r="B33" s="66" t="s">
        <v>164</v>
      </c>
      <c r="C33" s="66"/>
      <c r="D33" s="66"/>
      <c r="E33" s="66"/>
      <c r="F33" s="66"/>
      <c r="G33" s="112"/>
      <c r="H33" s="112"/>
      <c r="I33" s="118"/>
      <c r="J33" s="112"/>
      <c r="K33" s="112"/>
      <c r="L33" s="112"/>
      <c r="M33" s="118"/>
      <c r="N33" s="109"/>
      <c r="O33" s="66"/>
    </row>
    <row r="34" spans="1:15" ht="15" customHeight="1" thickBot="1" x14ac:dyDescent="0.35">
      <c r="A34" s="105" t="s">
        <v>46</v>
      </c>
      <c r="B34" s="66" t="s">
        <v>165</v>
      </c>
      <c r="C34" s="66"/>
      <c r="D34" s="66" t="s">
        <v>157</v>
      </c>
      <c r="E34" s="66"/>
      <c r="F34" s="66"/>
      <c r="G34" s="84" t="s">
        <v>166</v>
      </c>
      <c r="H34" s="85"/>
      <c r="I34" s="85"/>
      <c r="J34" s="85"/>
      <c r="K34" s="86"/>
      <c r="L34" s="116" t="s">
        <v>159</v>
      </c>
      <c r="M34" s="123">
        <v>0.1</v>
      </c>
      <c r="N34" s="109" t="s">
        <v>53</v>
      </c>
      <c r="O34" s="66"/>
    </row>
    <row r="35" spans="1:15" ht="15" customHeight="1" thickBot="1" x14ac:dyDescent="0.35">
      <c r="A35" s="105" t="s">
        <v>167</v>
      </c>
      <c r="B35" s="66" t="s">
        <v>168</v>
      </c>
      <c r="C35" s="66"/>
      <c r="D35" s="66" t="s">
        <v>157</v>
      </c>
      <c r="E35" s="66"/>
      <c r="F35" s="66"/>
      <c r="G35" s="84" t="s">
        <v>200</v>
      </c>
      <c r="H35" s="85"/>
      <c r="I35" s="85"/>
      <c r="J35" s="85"/>
      <c r="K35" s="86"/>
      <c r="L35" s="116" t="s">
        <v>159</v>
      </c>
      <c r="M35" s="123">
        <v>0.1</v>
      </c>
      <c r="N35" s="109" t="s">
        <v>53</v>
      </c>
      <c r="O35" s="66"/>
    </row>
    <row r="36" spans="1:15" ht="15" customHeight="1" thickBot="1" x14ac:dyDescent="0.35">
      <c r="A36" s="105" t="s">
        <v>170</v>
      </c>
      <c r="B36" s="66" t="s">
        <v>171</v>
      </c>
      <c r="C36" s="66"/>
      <c r="D36" s="66" t="s">
        <v>157</v>
      </c>
      <c r="E36" s="66"/>
      <c r="F36" s="66"/>
      <c r="G36" s="84" t="s">
        <v>201</v>
      </c>
      <c r="H36" s="85"/>
      <c r="I36" s="85"/>
      <c r="J36" s="85"/>
      <c r="K36" s="86"/>
      <c r="L36" s="116" t="s">
        <v>159</v>
      </c>
      <c r="M36" s="123">
        <v>2.0299999999999998</v>
      </c>
      <c r="N36" s="109" t="s">
        <v>53</v>
      </c>
      <c r="O36" s="66"/>
    </row>
    <row r="37" spans="1:15" s="111" customFormat="1" ht="4.1500000000000004" customHeight="1" thickBot="1" x14ac:dyDescent="0.35">
      <c r="M37" s="119"/>
    </row>
    <row r="38" spans="1:15" ht="13.5" thickBot="1" x14ac:dyDescent="0.35">
      <c r="A38" s="105" t="s">
        <v>173</v>
      </c>
      <c r="B38" s="67" t="s">
        <v>174</v>
      </c>
      <c r="C38" s="66"/>
      <c r="D38" s="66"/>
      <c r="E38" s="66"/>
      <c r="F38" s="66"/>
      <c r="G38" s="66" t="s">
        <v>49</v>
      </c>
      <c r="H38" s="66"/>
      <c r="I38" s="69">
        <v>31</v>
      </c>
      <c r="J38" s="66" t="s">
        <v>53</v>
      </c>
      <c r="K38" s="70"/>
      <c r="L38" s="70" t="s">
        <v>51</v>
      </c>
      <c r="M38" s="69">
        <v>35</v>
      </c>
      <c r="N38" s="66" t="s">
        <v>53</v>
      </c>
      <c r="O38" s="66"/>
    </row>
    <row r="39" spans="1:15" ht="5.5" customHeight="1" thickBot="1" x14ac:dyDescent="0.35">
      <c r="A39" s="66"/>
      <c r="B39" s="66"/>
      <c r="C39" s="66"/>
      <c r="D39" s="66"/>
      <c r="E39" s="66"/>
      <c r="F39" s="66"/>
      <c r="G39" s="66"/>
      <c r="H39" s="66"/>
      <c r="I39" s="120"/>
      <c r="J39" s="66"/>
      <c r="K39" s="66"/>
      <c r="L39" s="66"/>
      <c r="M39" s="66"/>
      <c r="N39" s="66"/>
      <c r="O39" s="66"/>
    </row>
    <row r="40" spans="1:15" ht="15" customHeight="1" thickBot="1" x14ac:dyDescent="0.35">
      <c r="A40" s="66" t="s">
        <v>175</v>
      </c>
      <c r="B40" s="66" t="s">
        <v>34</v>
      </c>
      <c r="C40" s="66"/>
      <c r="D40" s="66"/>
      <c r="E40" s="66"/>
      <c r="F40" s="66"/>
      <c r="G40" s="84">
        <v>150</v>
      </c>
      <c r="H40" s="85"/>
      <c r="I40" s="85"/>
      <c r="J40" s="85"/>
      <c r="K40" s="85"/>
      <c r="L40" s="85"/>
      <c r="M40" s="86"/>
      <c r="N40" s="109" t="s">
        <v>32</v>
      </c>
      <c r="O40" s="66"/>
    </row>
    <row r="41" spans="1:15" ht="5.5" customHeight="1" thickBot="1" x14ac:dyDescent="0.35">
      <c r="A41" s="66"/>
      <c r="B41" s="66"/>
      <c r="C41" s="66"/>
      <c r="D41" s="66"/>
      <c r="E41" s="66"/>
      <c r="F41" s="66"/>
      <c r="G41" s="109"/>
      <c r="H41" s="109"/>
      <c r="I41" s="109"/>
      <c r="J41" s="109"/>
      <c r="K41" s="109"/>
      <c r="L41" s="109"/>
      <c r="M41" s="109"/>
      <c r="N41" s="109"/>
      <c r="O41" s="66"/>
    </row>
    <row r="42" spans="1:15" ht="15" customHeight="1" thickBot="1" x14ac:dyDescent="0.35">
      <c r="A42" s="66" t="s">
        <v>176</v>
      </c>
      <c r="B42" s="83" t="s">
        <v>177</v>
      </c>
      <c r="C42" s="83"/>
      <c r="D42" s="83"/>
      <c r="E42" s="83"/>
      <c r="F42" s="83"/>
      <c r="G42" s="83"/>
      <c r="H42" s="83"/>
      <c r="I42" s="83"/>
      <c r="J42" s="83"/>
      <c r="K42" s="87"/>
      <c r="L42" s="84">
        <v>200</v>
      </c>
      <c r="M42" s="86"/>
      <c r="N42" s="68" t="s">
        <v>178</v>
      </c>
      <c r="O42" s="66"/>
    </row>
    <row r="43" spans="1:15" ht="15" customHeight="1" thickBot="1" x14ac:dyDescent="0.35">
      <c r="A43" s="66"/>
      <c r="B43" s="83" t="s">
        <v>179</v>
      </c>
      <c r="C43" s="83"/>
      <c r="D43" s="83"/>
      <c r="E43" s="83"/>
      <c r="F43" s="83"/>
      <c r="G43" s="83"/>
      <c r="H43" s="83"/>
      <c r="I43" s="83"/>
      <c r="J43" s="83"/>
      <c r="K43" s="83"/>
      <c r="L43" s="84">
        <v>160</v>
      </c>
      <c r="M43" s="86"/>
      <c r="N43" s="68" t="s">
        <v>178</v>
      </c>
      <c r="O43" s="66"/>
    </row>
    <row r="44" spans="1:15" ht="15" customHeight="1" x14ac:dyDescent="0.3">
      <c r="A44" s="66"/>
      <c r="B44" s="83" t="s">
        <v>180</v>
      </c>
      <c r="C44" s="83"/>
      <c r="D44" s="83"/>
      <c r="E44" s="83"/>
      <c r="F44" s="83"/>
      <c r="G44" s="83"/>
      <c r="H44" s="83"/>
      <c r="I44" s="83"/>
      <c r="J44" s="83"/>
      <c r="K44" s="83"/>
      <c r="L44" s="109"/>
      <c r="M44" s="109"/>
      <c r="N44" s="109"/>
      <c r="O44" s="66"/>
    </row>
    <row r="45" spans="1:15" ht="15" customHeight="1" thickBot="1" x14ac:dyDescent="0.35">
      <c r="A45" s="66" t="s">
        <v>181</v>
      </c>
      <c r="B45" s="66" t="s">
        <v>182</v>
      </c>
      <c r="C45" s="66"/>
      <c r="D45" s="66"/>
      <c r="E45" s="66"/>
      <c r="F45" s="66"/>
      <c r="G45" s="109"/>
      <c r="H45" s="109"/>
      <c r="I45" s="109"/>
      <c r="J45" s="109"/>
      <c r="K45" s="109"/>
      <c r="L45" s="109"/>
      <c r="M45" s="109"/>
      <c r="N45" s="109"/>
      <c r="O45" s="66"/>
    </row>
    <row r="46" spans="1:15" ht="15" customHeight="1" thickBot="1" x14ac:dyDescent="0.35">
      <c r="A46" s="66"/>
      <c r="B46" s="66"/>
      <c r="C46" s="67" t="s">
        <v>183</v>
      </c>
      <c r="D46" s="66"/>
      <c r="E46" s="66"/>
      <c r="F46" s="66"/>
      <c r="G46" s="84">
        <v>10</v>
      </c>
      <c r="H46" s="85"/>
      <c r="I46" s="85"/>
      <c r="J46" s="85"/>
      <c r="K46" s="85"/>
      <c r="L46" s="86"/>
      <c r="M46" s="66" t="s">
        <v>184</v>
      </c>
      <c r="N46" s="66"/>
      <c r="O46" s="66"/>
    </row>
    <row r="47" spans="1:15" ht="15" customHeight="1" thickBot="1" x14ac:dyDescent="0.35">
      <c r="A47" s="66"/>
      <c r="B47" s="66"/>
      <c r="C47" s="67" t="s">
        <v>185</v>
      </c>
      <c r="D47" s="66"/>
      <c r="E47" s="66"/>
      <c r="F47" s="66"/>
      <c r="G47" s="84">
        <v>10</v>
      </c>
      <c r="H47" s="85"/>
      <c r="I47" s="85"/>
      <c r="J47" s="85"/>
      <c r="K47" s="85"/>
      <c r="L47" s="86"/>
      <c r="M47" s="66" t="s">
        <v>184</v>
      </c>
      <c r="N47" s="109"/>
      <c r="O47" s="66"/>
    </row>
    <row r="48" spans="1:15" ht="15" customHeight="1" thickBot="1" x14ac:dyDescent="0.35">
      <c r="A48" s="66" t="s">
        <v>186</v>
      </c>
      <c r="B48" s="66" t="s">
        <v>187</v>
      </c>
      <c r="C48" s="66"/>
      <c r="D48" s="66"/>
      <c r="E48" s="66"/>
      <c r="F48" s="66"/>
      <c r="G48" s="84">
        <v>0.52400000000000002</v>
      </c>
      <c r="H48" s="85"/>
      <c r="I48" s="85"/>
      <c r="J48" s="85"/>
      <c r="K48" s="85"/>
      <c r="L48" s="86"/>
      <c r="M48" s="66" t="s">
        <v>188</v>
      </c>
      <c r="N48" s="109"/>
      <c r="O48" s="66"/>
    </row>
    <row r="49" spans="1:15" ht="15" customHeight="1" thickBot="1" x14ac:dyDescent="0.35">
      <c r="A49" s="66" t="s">
        <v>189</v>
      </c>
      <c r="B49" s="66" t="s">
        <v>190</v>
      </c>
      <c r="C49" s="66"/>
      <c r="D49" s="66"/>
      <c r="E49" s="66"/>
      <c r="F49" s="66"/>
      <c r="G49" s="84">
        <v>500</v>
      </c>
      <c r="H49" s="85"/>
      <c r="I49" s="85"/>
      <c r="J49" s="85"/>
      <c r="K49" s="85"/>
      <c r="L49" s="86"/>
      <c r="M49" s="68" t="s">
        <v>191</v>
      </c>
      <c r="N49" s="109"/>
      <c r="O49" s="66"/>
    </row>
    <row r="50" spans="1:15" x14ac:dyDescent="0.3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66"/>
    </row>
    <row r="51" spans="1:15" x14ac:dyDescent="0.3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</row>
    <row r="52" spans="1:15" ht="16.149999999999999" customHeight="1" x14ac:dyDescent="0.3">
      <c r="A52" s="122" t="s">
        <v>125</v>
      </c>
      <c r="B52" s="122"/>
      <c r="C52" s="90" t="s">
        <v>192</v>
      </c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66"/>
    </row>
    <row r="53" spans="1:15" ht="16.149999999999999" customHeight="1" x14ac:dyDescent="0.3">
      <c r="A53" s="122" t="s">
        <v>128</v>
      </c>
      <c r="B53" s="122"/>
      <c r="C53" s="90" t="s">
        <v>193</v>
      </c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66"/>
    </row>
    <row r="63" spans="1:15" hidden="1" x14ac:dyDescent="0.3">
      <c r="B63" s="49" t="s">
        <v>194</v>
      </c>
    </row>
    <row r="64" spans="1:15" hidden="1" x14ac:dyDescent="0.3">
      <c r="B64" s="49" t="s">
        <v>195</v>
      </c>
    </row>
    <row r="65" spans="2:2" hidden="1" x14ac:dyDescent="0.3">
      <c r="B65" s="49" t="s">
        <v>196</v>
      </c>
    </row>
    <row r="66" spans="2:2" hidden="1" x14ac:dyDescent="0.3">
      <c r="B66" s="49" t="s">
        <v>54</v>
      </c>
    </row>
  </sheetData>
  <sheetProtection algorithmName="SHA-512" hashValue="+lXBXV+sd2alJgTNFfq1M/felNNttpTeZ0xqmekF3puqovqZ5WjbVfdNONpNaFRmVy6BBuofSzfpednuzNEM1A==" saltValue="ae5ejsAwR3fD16Utg75Pag==" spinCount="100000" sheet="1" formatColumns="0" formatRows="0"/>
  <mergeCells count="37">
    <mergeCell ref="G47:L47"/>
    <mergeCell ref="G48:L48"/>
    <mergeCell ref="G49:L49"/>
    <mergeCell ref="A52:B52"/>
    <mergeCell ref="C52:N52"/>
    <mergeCell ref="A53:B53"/>
    <mergeCell ref="C53:N53"/>
    <mergeCell ref="B42:K42"/>
    <mergeCell ref="L42:M42"/>
    <mergeCell ref="B43:K43"/>
    <mergeCell ref="L43:M43"/>
    <mergeCell ref="B44:K44"/>
    <mergeCell ref="G46:L46"/>
    <mergeCell ref="G30:K30"/>
    <mergeCell ref="B32:F32"/>
    <mergeCell ref="G34:K34"/>
    <mergeCell ref="G35:K35"/>
    <mergeCell ref="G36:K36"/>
    <mergeCell ref="G40:M40"/>
    <mergeCell ref="G21:L21"/>
    <mergeCell ref="G22:L22"/>
    <mergeCell ref="G23:L23"/>
    <mergeCell ref="G24:L24"/>
    <mergeCell ref="G28:K28"/>
    <mergeCell ref="G29:K29"/>
    <mergeCell ref="G11:M11"/>
    <mergeCell ref="G12:M12"/>
    <mergeCell ref="G14:M14"/>
    <mergeCell ref="G16:M16"/>
    <mergeCell ref="G18:N18"/>
    <mergeCell ref="G20:L20"/>
    <mergeCell ref="A1:N1"/>
    <mergeCell ref="M2:N2"/>
    <mergeCell ref="M3:N3"/>
    <mergeCell ref="K6:N6"/>
    <mergeCell ref="C7:D7"/>
    <mergeCell ref="J7:N7"/>
  </mergeCells>
  <conditionalFormatting sqref="A1 O1:XFD3 A2:M3 A4:XFD12 A13:R23 AB13:XFD23 A24:XFD24 A25:F25 M25:XFD25 A27:F27 M27:XFD27 A28:XFD30 N31:XFD31 A31:F33 N33:XFD33 A34:XFD36 A38:XFD51 A52:A53 A54:XFD54 A55:A59 C55:XFD59 A60:XFD65 B66 A66:A67 C66:XFD67 A68:XFD1048576">
    <cfRule type="expression" dxfId="74" priority="6">
      <formula>CELL("protect", INDIRECT(ADDRESS(ROW(), COLUMN())))=0</formula>
    </cfRule>
  </conditionalFormatting>
  <conditionalFormatting sqref="A26:B26">
    <cfRule type="expression" dxfId="73" priority="2">
      <formula>CELL("protect", INDIRECT(ADDRESS(ROW(), COLUMN())))=0</formula>
    </cfRule>
  </conditionalFormatting>
  <conditionalFormatting sqref="C52:XFD53">
    <cfRule type="expression" dxfId="72" priority="3">
      <formula>CELL("protect", INDIRECT(ADDRESS(ROW(), COLUMN())))=0</formula>
    </cfRule>
  </conditionalFormatting>
  <conditionalFormatting sqref="G18">
    <cfRule type="expression" dxfId="71" priority="5">
      <formula>CELL("protect", INDIRECT(ADDRESS(ROW(), COLUMN())))=0</formula>
    </cfRule>
  </conditionalFormatting>
  <conditionalFormatting sqref="G26:XFD26">
    <cfRule type="expression" dxfId="70" priority="1">
      <formula>CELL("protect", INDIRECT(ADDRESS(ROW(), COLUMN())))=0</formula>
    </cfRule>
  </conditionalFormatting>
  <conditionalFormatting sqref="G32:XFD32">
    <cfRule type="expression" dxfId="69" priority="4">
      <formula>CELL("protect", INDIRECT(ADDRESS(ROW(), COLUMN())))=0</formula>
    </cfRule>
  </conditionalFormatting>
  <dataValidations count="1">
    <dataValidation type="list" allowBlank="1" showInputMessage="1" showErrorMessage="1" sqref="G16:M16" xr:uid="{CCE0CE9C-B8E0-42B5-AEA9-AFB8BB59DA81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Footer>&amp;C- Part 2-C27- (Rev.1)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AFB8-D8BD-4941-A32F-A91DF7EA1864}">
  <dimension ref="A1:AB74"/>
  <sheetViews>
    <sheetView showGridLines="0" view="pageBreakPreview" topLeftCell="A43" zoomScale="80" zoomScaleNormal="85" zoomScaleSheetLayoutView="80" workbookViewId="0">
      <selection activeCell="H46" sqref="H46:U46"/>
    </sheetView>
  </sheetViews>
  <sheetFormatPr defaultColWidth="8.90625" defaultRowHeight="14.5" x14ac:dyDescent="0.35"/>
  <cols>
    <col min="1" max="1" width="2.08984375" style="50" customWidth="1"/>
    <col min="2" max="4" width="8.90625" style="50"/>
    <col min="5" max="5" width="4.453125" style="50" customWidth="1"/>
    <col min="6" max="6" width="24.08984375" style="50" customWidth="1"/>
    <col min="7" max="7" width="4.453125" style="50" customWidth="1"/>
    <col min="8" max="8" width="2.90625" style="50" customWidth="1"/>
    <col min="9" max="10" width="1.08984375" style="50" customWidth="1"/>
    <col min="11" max="11" width="14" style="50" customWidth="1"/>
    <col min="12" max="12" width="3.453125" style="50" customWidth="1"/>
    <col min="13" max="13" width="1.08984375" style="50" customWidth="1"/>
    <col min="14" max="14" width="10" style="50" customWidth="1"/>
    <col min="15" max="15" width="1.08984375" style="50" customWidth="1"/>
    <col min="16" max="16" width="10" style="50" customWidth="1"/>
    <col min="17" max="17" width="1.08984375" style="50" customWidth="1"/>
    <col min="18" max="18" width="3" style="50" customWidth="1"/>
    <col min="19" max="19" width="2.08984375" style="50" customWidth="1"/>
    <col min="20" max="20" width="12.08984375" style="50" customWidth="1"/>
    <col min="21" max="21" width="4.08984375" style="50" customWidth="1"/>
    <col min="22" max="22" width="4" style="50" customWidth="1"/>
    <col min="23" max="16384" width="8.90625" style="50"/>
  </cols>
  <sheetData>
    <row r="1" spans="1:22" ht="6" customHeight="1" x14ac:dyDescent="0.3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 t="s">
        <v>202</v>
      </c>
      <c r="S1" s="43"/>
      <c r="T1" s="43"/>
      <c r="U1" s="43"/>
      <c r="V1" s="43"/>
    </row>
    <row r="2" spans="1:22" ht="23.15" customHeight="1" x14ac:dyDescent="0.35">
      <c r="A2" s="29" t="s">
        <v>203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</row>
    <row r="3" spans="1:22" ht="15" customHeight="1" x14ac:dyDescent="0.3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125" t="s">
        <v>204</v>
      </c>
      <c r="Q3" s="124"/>
      <c r="R3" s="124"/>
      <c r="S3" s="124"/>
      <c r="T3" s="124"/>
      <c r="U3" s="124"/>
      <c r="V3" s="124"/>
    </row>
    <row r="4" spans="1:22" ht="15" customHeight="1" x14ac:dyDescent="0.3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126" t="s">
        <v>205</v>
      </c>
      <c r="U4" s="124"/>
      <c r="V4" s="124"/>
    </row>
    <row r="5" spans="1:22" ht="15" customHeight="1" x14ac:dyDescent="0.3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127"/>
      <c r="U5" s="43"/>
      <c r="V5" s="43"/>
    </row>
    <row r="6" spans="1:22" ht="15.75" customHeight="1" x14ac:dyDescent="0.35">
      <c r="A6" s="128" t="s">
        <v>3</v>
      </c>
      <c r="B6" s="43"/>
      <c r="C6" s="43"/>
      <c r="D6" s="43"/>
      <c r="E6" s="43"/>
      <c r="F6" s="43"/>
      <c r="G6" s="43"/>
      <c r="H6" s="128"/>
      <c r="I6" s="43"/>
      <c r="J6" s="43"/>
      <c r="K6" s="43"/>
      <c r="L6" s="43"/>
      <c r="M6" s="43"/>
      <c r="N6" s="43"/>
      <c r="O6" s="43"/>
      <c r="P6" s="43"/>
      <c r="Q6" s="43"/>
      <c r="R6" s="43"/>
      <c r="S6" s="129"/>
      <c r="T6" s="124"/>
      <c r="U6" s="124"/>
      <c r="V6" s="43"/>
    </row>
    <row r="7" spans="1:22" ht="5.15" customHeight="1" thickBot="1" x14ac:dyDescent="0.4">
      <c r="A7" s="128"/>
      <c r="B7" s="43"/>
      <c r="C7" s="43"/>
      <c r="D7" s="43"/>
      <c r="E7" s="43"/>
      <c r="F7" s="43"/>
      <c r="G7" s="43"/>
      <c r="H7" s="128"/>
      <c r="I7" s="43"/>
      <c r="J7" s="43"/>
      <c r="K7" s="43"/>
      <c r="L7" s="43"/>
      <c r="M7" s="43"/>
      <c r="N7" s="43"/>
      <c r="O7" s="43"/>
      <c r="P7" s="43"/>
      <c r="Q7" s="43"/>
      <c r="R7" s="43"/>
      <c r="S7" s="130"/>
      <c r="T7" s="130"/>
      <c r="U7" s="130"/>
      <c r="V7" s="43"/>
    </row>
    <row r="8" spans="1:22" ht="15.65" customHeight="1" x14ac:dyDescent="0.35">
      <c r="A8" s="128" t="s">
        <v>4</v>
      </c>
      <c r="B8" s="43"/>
      <c r="C8" s="43"/>
      <c r="D8" s="43"/>
      <c r="E8" s="43"/>
      <c r="F8" s="131" t="s">
        <v>5</v>
      </c>
      <c r="G8" s="43"/>
      <c r="H8" s="128" t="s">
        <v>6</v>
      </c>
      <c r="I8" s="43"/>
      <c r="J8" s="43"/>
      <c r="K8" s="43"/>
      <c r="L8" s="132" t="s">
        <v>206</v>
      </c>
      <c r="M8" s="133"/>
      <c r="N8" s="133"/>
      <c r="O8" s="133"/>
      <c r="P8" s="133"/>
      <c r="Q8" s="133"/>
      <c r="R8" s="133"/>
      <c r="S8" s="133"/>
      <c r="T8" s="133"/>
      <c r="U8" s="134"/>
      <c r="V8" s="43"/>
    </row>
    <row r="9" spans="1:22" ht="16.5" customHeight="1" x14ac:dyDescent="0.35">
      <c r="A9" s="128"/>
      <c r="B9" s="43"/>
      <c r="C9" s="43"/>
      <c r="D9" s="43"/>
      <c r="E9" s="43"/>
      <c r="F9" s="135"/>
      <c r="G9" s="43"/>
      <c r="H9" s="128"/>
      <c r="I9" s="43"/>
      <c r="J9" s="43"/>
      <c r="K9" s="43"/>
      <c r="L9" s="136"/>
      <c r="M9" s="137"/>
      <c r="N9" s="137"/>
      <c r="O9" s="137"/>
      <c r="P9" s="137"/>
      <c r="Q9" s="137"/>
      <c r="R9" s="137"/>
      <c r="S9" s="137"/>
      <c r="T9" s="137"/>
      <c r="U9" s="138"/>
      <c r="V9" s="43"/>
    </row>
    <row r="10" spans="1:22" ht="5.15" customHeight="1" thickBot="1" x14ac:dyDescent="0.4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spans="1:22" ht="15.75" customHeight="1" x14ac:dyDescent="0.35">
      <c r="A11" s="128" t="s">
        <v>8</v>
      </c>
      <c r="B11" s="43"/>
      <c r="C11" s="132" t="s">
        <v>9</v>
      </c>
      <c r="D11" s="133"/>
      <c r="E11" s="133"/>
      <c r="F11" s="134"/>
      <c r="G11" s="43"/>
      <c r="H11" s="128" t="s">
        <v>10</v>
      </c>
      <c r="I11" s="43"/>
      <c r="J11" s="43"/>
      <c r="K11" s="43"/>
      <c r="L11" s="139" t="s">
        <v>207</v>
      </c>
      <c r="M11" s="140"/>
      <c r="N11" s="140"/>
      <c r="O11" s="140"/>
      <c r="P11" s="140"/>
      <c r="Q11" s="140"/>
      <c r="R11" s="140"/>
      <c r="S11" s="140"/>
      <c r="T11" s="140"/>
      <c r="U11" s="141"/>
      <c r="V11" s="43"/>
    </row>
    <row r="12" spans="1:22" ht="16.5" customHeight="1" x14ac:dyDescent="0.35">
      <c r="A12" s="128"/>
      <c r="B12" s="43"/>
      <c r="C12" s="136"/>
      <c r="D12" s="137"/>
      <c r="E12" s="137"/>
      <c r="F12" s="138"/>
      <c r="G12" s="43"/>
      <c r="H12" s="128"/>
      <c r="I12" s="43"/>
      <c r="J12" s="43"/>
      <c r="K12" s="43"/>
      <c r="L12" s="142"/>
      <c r="M12" s="143"/>
      <c r="N12" s="143"/>
      <c r="O12" s="143"/>
      <c r="P12" s="143"/>
      <c r="Q12" s="143"/>
      <c r="R12" s="143"/>
      <c r="S12" s="143"/>
      <c r="T12" s="143"/>
      <c r="U12" s="144"/>
      <c r="V12" s="43"/>
    </row>
    <row r="13" spans="1:22" ht="15.75" customHeight="1" x14ac:dyDescent="0.35">
      <c r="A13" s="128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spans="1:22" ht="39.65" customHeight="1" thickBot="1" x14ac:dyDescent="0.4">
      <c r="A14" s="145" t="s">
        <v>12</v>
      </c>
      <c r="B14" s="146" t="s">
        <v>208</v>
      </c>
      <c r="C14" s="146"/>
      <c r="D14" s="146"/>
      <c r="E14" s="146"/>
      <c r="F14" s="146"/>
      <c r="G14" s="146"/>
      <c r="H14" s="147" t="s">
        <v>209</v>
      </c>
      <c r="I14" s="124"/>
      <c r="J14" s="124"/>
      <c r="K14" s="124"/>
      <c r="L14" s="124"/>
      <c r="M14" s="148"/>
      <c r="N14" s="149" t="s">
        <v>210</v>
      </c>
      <c r="O14" s="150"/>
      <c r="P14" s="150"/>
      <c r="Q14" s="148"/>
      <c r="R14" s="151" t="s">
        <v>211</v>
      </c>
      <c r="S14" s="124"/>
      <c r="T14" s="124"/>
      <c r="U14" s="124"/>
      <c r="V14" s="43"/>
    </row>
    <row r="15" spans="1:22" ht="15" customHeight="1" thickBot="1" x14ac:dyDescent="0.4">
      <c r="A15" s="145"/>
      <c r="B15" s="152"/>
      <c r="C15" s="152" t="s">
        <v>212</v>
      </c>
      <c r="D15" s="146"/>
      <c r="E15" s="146"/>
      <c r="F15" s="43"/>
      <c r="G15" s="43"/>
      <c r="H15" s="153" t="s">
        <v>143</v>
      </c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5"/>
      <c r="V15" s="43"/>
    </row>
    <row r="16" spans="1:22" ht="16.5" customHeight="1" thickBot="1" x14ac:dyDescent="0.4">
      <c r="A16" s="145"/>
      <c r="B16" s="152"/>
      <c r="C16" s="152" t="s">
        <v>213</v>
      </c>
      <c r="D16" s="146"/>
      <c r="E16" s="146"/>
      <c r="F16" s="43"/>
      <c r="G16" s="43"/>
      <c r="H16" s="153" t="s">
        <v>144</v>
      </c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5"/>
      <c r="V16" s="43"/>
    </row>
    <row r="17" spans="1:28" ht="3.65" customHeight="1" thickBot="1" x14ac:dyDescent="0.4">
      <c r="A17" s="145"/>
      <c r="B17" s="152"/>
      <c r="C17" s="152"/>
      <c r="D17" s="146"/>
      <c r="E17" s="146"/>
      <c r="F17" s="43"/>
      <c r="G17" s="43"/>
      <c r="V17" s="43"/>
      <c r="W17" s="43"/>
      <c r="X17" s="43"/>
      <c r="Y17" s="43"/>
      <c r="Z17" s="43"/>
      <c r="AA17" s="43"/>
      <c r="AB17" s="43"/>
    </row>
    <row r="18" spans="1:28" ht="47.5" customHeight="1" thickBot="1" x14ac:dyDescent="0.4">
      <c r="A18" s="145"/>
      <c r="B18" s="152"/>
      <c r="C18" s="152" t="s">
        <v>214</v>
      </c>
      <c r="D18" s="146"/>
      <c r="E18" s="146"/>
      <c r="F18" s="146"/>
      <c r="G18" s="146"/>
      <c r="H18" s="156" t="s">
        <v>215</v>
      </c>
      <c r="I18" s="157"/>
      <c r="J18" s="157"/>
      <c r="K18" s="157"/>
      <c r="L18" s="158"/>
      <c r="M18" s="145"/>
      <c r="N18" s="159" t="s">
        <v>216</v>
      </c>
      <c r="O18" s="157"/>
      <c r="P18" s="160"/>
      <c r="Q18" s="145"/>
      <c r="R18" s="156"/>
      <c r="S18" s="157"/>
      <c r="T18" s="157"/>
      <c r="U18" s="158"/>
      <c r="V18" s="43"/>
      <c r="W18" s="43"/>
      <c r="X18" s="43"/>
      <c r="Y18" s="43"/>
      <c r="Z18" s="43"/>
      <c r="AA18" s="43"/>
      <c r="AB18" s="43"/>
    </row>
    <row r="19" spans="1:28" ht="15" customHeight="1" thickBot="1" x14ac:dyDescent="0.4">
      <c r="A19" s="145"/>
      <c r="B19" s="152"/>
      <c r="C19" s="152"/>
      <c r="D19" s="146"/>
      <c r="E19" s="146"/>
      <c r="F19" s="146"/>
      <c r="G19" s="146"/>
      <c r="H19" s="161" t="s">
        <v>25</v>
      </c>
      <c r="I19" s="162"/>
      <c r="V19" s="43"/>
      <c r="W19" s="43"/>
      <c r="X19" s="43"/>
      <c r="Y19" s="43"/>
      <c r="Z19" s="43"/>
      <c r="AA19" s="43"/>
      <c r="AB19" s="43"/>
    </row>
    <row r="20" spans="1:28" ht="53.5" customHeight="1" thickBot="1" x14ac:dyDescent="0.4">
      <c r="A20" s="145"/>
      <c r="B20" s="152"/>
      <c r="C20" s="152"/>
      <c r="D20" s="146"/>
      <c r="E20" s="146"/>
      <c r="F20" s="146"/>
      <c r="G20" s="146"/>
      <c r="H20" s="163"/>
      <c r="I20" s="164"/>
      <c r="J20" s="164"/>
      <c r="K20" s="164"/>
      <c r="L20" s="165"/>
      <c r="M20" s="145"/>
      <c r="N20" s="159"/>
      <c r="O20" s="157"/>
      <c r="P20" s="160"/>
      <c r="Q20" s="146"/>
      <c r="R20" s="166"/>
      <c r="S20" s="157"/>
      <c r="T20" s="157"/>
      <c r="U20" s="160"/>
      <c r="V20" s="43"/>
      <c r="W20" s="43"/>
      <c r="X20" s="43"/>
      <c r="Y20" s="43"/>
      <c r="Z20" s="43"/>
      <c r="AA20" s="43"/>
      <c r="AB20" s="167"/>
    </row>
    <row r="21" spans="1:28" ht="6" customHeight="1" x14ac:dyDescent="0.35">
      <c r="A21" s="145"/>
      <c r="B21" s="152"/>
      <c r="C21" s="152"/>
      <c r="D21" s="146"/>
      <c r="E21" s="146"/>
      <c r="F21" s="43"/>
      <c r="G21" s="43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43"/>
      <c r="W21" s="43"/>
      <c r="X21" s="43"/>
      <c r="Y21" s="43"/>
      <c r="Z21" s="43"/>
      <c r="AA21" s="43"/>
      <c r="AB21" s="43"/>
    </row>
    <row r="22" spans="1:28" ht="22.4" customHeight="1" thickBot="1" x14ac:dyDescent="0.4">
      <c r="A22" s="145" t="s">
        <v>19</v>
      </c>
      <c r="B22" s="146" t="s">
        <v>217</v>
      </c>
      <c r="C22" s="146"/>
      <c r="D22" s="146"/>
      <c r="E22" s="146"/>
      <c r="F22" s="43"/>
      <c r="G22" s="43"/>
      <c r="H22" s="149" t="s">
        <v>218</v>
      </c>
      <c r="I22" s="150"/>
      <c r="J22" s="150"/>
      <c r="K22" s="150"/>
      <c r="L22" s="150"/>
      <c r="M22" s="150"/>
      <c r="N22" s="150"/>
      <c r="O22" s="168"/>
      <c r="P22" s="149" t="s">
        <v>219</v>
      </c>
      <c r="Q22" s="150"/>
      <c r="R22" s="150"/>
      <c r="S22" s="150"/>
      <c r="T22" s="150"/>
      <c r="U22" s="150"/>
      <c r="V22" s="43"/>
      <c r="W22" s="43"/>
      <c r="X22" s="43"/>
      <c r="Y22" s="43"/>
      <c r="Z22" s="43"/>
      <c r="AA22" s="43"/>
      <c r="AB22" s="43"/>
    </row>
    <row r="23" spans="1:28" ht="16.5" customHeight="1" thickBot="1" x14ac:dyDescent="0.4">
      <c r="A23" s="145"/>
      <c r="B23" s="152"/>
      <c r="C23" s="152" t="s">
        <v>212</v>
      </c>
      <c r="D23" s="146"/>
      <c r="E23" s="146"/>
      <c r="F23" s="43"/>
      <c r="G23" s="43"/>
      <c r="H23" s="153" t="s">
        <v>220</v>
      </c>
      <c r="I23" s="157"/>
      <c r="J23" s="157"/>
      <c r="K23" s="157"/>
      <c r="L23" s="157"/>
      <c r="M23" s="157"/>
      <c r="N23" s="160"/>
      <c r="O23" s="43"/>
      <c r="P23" s="153" t="s">
        <v>220</v>
      </c>
      <c r="Q23" s="157"/>
      <c r="R23" s="157"/>
      <c r="S23" s="157"/>
      <c r="T23" s="157"/>
      <c r="U23" s="160"/>
      <c r="V23" s="43"/>
      <c r="W23" s="43"/>
      <c r="X23" s="43"/>
      <c r="Y23" s="43"/>
      <c r="Z23" s="43"/>
      <c r="AA23" s="43"/>
      <c r="AB23" s="43"/>
    </row>
    <row r="24" spans="1:28" ht="16.5" customHeight="1" thickBot="1" x14ac:dyDescent="0.4">
      <c r="A24" s="145"/>
      <c r="B24" s="152"/>
      <c r="C24" s="152" t="s">
        <v>213</v>
      </c>
      <c r="D24" s="146"/>
      <c r="E24" s="146"/>
      <c r="F24" s="43"/>
      <c r="G24" s="43"/>
      <c r="H24" s="153" t="s">
        <v>144</v>
      </c>
      <c r="I24" s="157"/>
      <c r="J24" s="157"/>
      <c r="K24" s="157"/>
      <c r="L24" s="157"/>
      <c r="M24" s="157"/>
      <c r="N24" s="160"/>
      <c r="O24" s="43"/>
      <c r="P24" s="153" t="s">
        <v>144</v>
      </c>
      <c r="Q24" s="157"/>
      <c r="R24" s="157"/>
      <c r="S24" s="157"/>
      <c r="T24" s="157"/>
      <c r="U24" s="160"/>
      <c r="V24" s="43"/>
      <c r="W24" s="43"/>
      <c r="X24" s="43"/>
      <c r="Y24" s="43"/>
      <c r="Z24" s="43"/>
      <c r="AA24" s="43"/>
      <c r="AB24" s="43"/>
    </row>
    <row r="25" spans="1:28" ht="35.15" customHeight="1" thickBot="1" x14ac:dyDescent="0.4">
      <c r="A25" s="145"/>
      <c r="B25" s="152"/>
      <c r="C25" s="152" t="s">
        <v>214</v>
      </c>
      <c r="D25" s="146"/>
      <c r="E25" s="146"/>
      <c r="F25" s="43"/>
      <c r="G25" s="43"/>
      <c r="H25" s="159" t="s">
        <v>221</v>
      </c>
      <c r="I25" s="157"/>
      <c r="J25" s="157"/>
      <c r="K25" s="157"/>
      <c r="L25" s="157"/>
      <c r="M25" s="157"/>
      <c r="N25" s="160"/>
      <c r="O25" s="130"/>
      <c r="P25" s="159" t="s">
        <v>215</v>
      </c>
      <c r="Q25" s="157"/>
      <c r="R25" s="157"/>
      <c r="S25" s="157"/>
      <c r="T25" s="157"/>
      <c r="U25" s="160"/>
      <c r="V25" s="43"/>
      <c r="W25" s="43"/>
      <c r="X25" s="43"/>
      <c r="Y25" s="43"/>
      <c r="Z25" s="43"/>
      <c r="AA25" s="43"/>
      <c r="AB25" s="43"/>
    </row>
    <row r="26" spans="1:28" ht="16.5" customHeight="1" thickBot="1" x14ac:dyDescent="0.4">
      <c r="A26" s="145"/>
      <c r="B26" s="152"/>
      <c r="C26" s="152"/>
      <c r="D26" s="146"/>
      <c r="E26" s="146"/>
      <c r="F26" s="43"/>
      <c r="G26" s="43"/>
      <c r="H26" s="30" t="s">
        <v>25</v>
      </c>
      <c r="V26" s="43"/>
      <c r="W26" s="43"/>
      <c r="X26" s="43"/>
      <c r="Y26" s="43"/>
      <c r="Z26" s="43"/>
      <c r="AA26" s="43"/>
      <c r="AB26" s="43"/>
    </row>
    <row r="27" spans="1:28" ht="41.5" customHeight="1" thickBot="1" x14ac:dyDescent="0.4">
      <c r="A27" s="145"/>
      <c r="B27" s="152"/>
      <c r="C27" s="152"/>
      <c r="D27" s="146"/>
      <c r="E27" s="146"/>
      <c r="F27" s="43"/>
      <c r="G27" s="43"/>
      <c r="H27" s="169"/>
      <c r="I27" s="157"/>
      <c r="J27" s="157"/>
      <c r="K27" s="157"/>
      <c r="L27" s="157"/>
      <c r="M27" s="157"/>
      <c r="N27" s="160"/>
      <c r="O27" s="43"/>
      <c r="P27" s="170"/>
      <c r="Q27" s="157"/>
      <c r="R27" s="157"/>
      <c r="S27" s="157"/>
      <c r="T27" s="157"/>
      <c r="U27" s="160"/>
      <c r="V27" s="43"/>
      <c r="W27" s="43"/>
      <c r="X27" s="43"/>
      <c r="Y27" s="43"/>
      <c r="Z27" s="43"/>
      <c r="AA27" s="43"/>
      <c r="AB27" s="43"/>
    </row>
    <row r="28" spans="1:28" ht="6" customHeight="1" x14ac:dyDescent="0.35">
      <c r="A28" s="145"/>
      <c r="B28" s="152"/>
      <c r="C28" s="152"/>
      <c r="D28" s="146"/>
      <c r="E28" s="146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130"/>
      <c r="V28" s="43"/>
      <c r="W28" s="43"/>
      <c r="X28" s="43"/>
      <c r="Y28" s="43"/>
      <c r="Z28" s="43"/>
      <c r="AA28" s="43"/>
      <c r="AB28" s="43"/>
    </row>
    <row r="29" spans="1:28" ht="14.5" customHeight="1" thickBot="1" x14ac:dyDescent="0.4">
      <c r="A29" s="145" t="s">
        <v>22</v>
      </c>
      <c r="B29" s="146" t="s">
        <v>222</v>
      </c>
      <c r="C29" s="146"/>
      <c r="D29" s="146"/>
      <c r="E29" s="146"/>
      <c r="F29" s="43"/>
      <c r="G29" s="43"/>
      <c r="H29" s="43"/>
      <c r="I29" s="43"/>
      <c r="J29" s="43"/>
      <c r="K29" s="129"/>
      <c r="L29" s="124"/>
      <c r="M29" s="130"/>
      <c r="N29" s="130"/>
      <c r="O29" s="130"/>
      <c r="P29" s="130"/>
      <c r="Q29" s="130"/>
      <c r="R29" s="43"/>
      <c r="S29" s="129"/>
      <c r="T29" s="124"/>
      <c r="U29" s="43"/>
      <c r="V29" s="43"/>
      <c r="W29" s="43"/>
      <c r="X29" s="43"/>
      <c r="Y29" s="43"/>
      <c r="Z29" s="43"/>
      <c r="AA29" s="43"/>
      <c r="AB29" s="43"/>
    </row>
    <row r="30" spans="1:28" ht="15" customHeight="1" thickBot="1" x14ac:dyDescent="0.4">
      <c r="A30" s="145"/>
      <c r="B30" s="152"/>
      <c r="C30" s="152" t="s">
        <v>212</v>
      </c>
      <c r="D30" s="146"/>
      <c r="E30" s="146"/>
      <c r="F30" s="43"/>
      <c r="G30" s="43"/>
      <c r="H30" s="153" t="s">
        <v>143</v>
      </c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5"/>
      <c r="V30" s="43"/>
      <c r="W30" s="43"/>
      <c r="X30" s="43"/>
      <c r="Y30" s="43"/>
      <c r="Z30" s="43"/>
      <c r="AA30" s="43"/>
      <c r="AB30" s="43"/>
    </row>
    <row r="31" spans="1:28" ht="16.5" customHeight="1" thickBot="1" x14ac:dyDescent="0.4">
      <c r="A31" s="145"/>
      <c r="B31" s="152"/>
      <c r="C31" s="152" t="s">
        <v>213</v>
      </c>
      <c r="D31" s="146"/>
      <c r="E31" s="146"/>
      <c r="F31" s="43"/>
      <c r="G31" s="43"/>
      <c r="H31" s="153" t="s">
        <v>144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5"/>
      <c r="V31" s="43"/>
      <c r="W31" s="43"/>
      <c r="X31" s="43"/>
      <c r="Y31" s="43"/>
      <c r="Z31" s="43"/>
      <c r="AA31" s="43"/>
      <c r="AB31" s="43"/>
    </row>
    <row r="32" spans="1:28" ht="18.649999999999999" customHeight="1" thickBot="1" x14ac:dyDescent="0.4">
      <c r="A32" s="145"/>
      <c r="B32" s="152"/>
      <c r="C32" s="152" t="s">
        <v>214</v>
      </c>
      <c r="D32" s="171"/>
      <c r="E32" s="171"/>
      <c r="F32" s="171"/>
      <c r="G32" s="171"/>
      <c r="H32" s="172" t="s">
        <v>223</v>
      </c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73"/>
      <c r="V32" s="43"/>
      <c r="W32" s="43"/>
      <c r="X32" s="43"/>
      <c r="Y32" s="43"/>
      <c r="Z32" s="43"/>
      <c r="AA32" s="43"/>
      <c r="AB32" s="43"/>
    </row>
    <row r="33" spans="1:21" ht="16.5" customHeight="1" thickBot="1" x14ac:dyDescent="0.4">
      <c r="A33" s="145"/>
      <c r="B33" s="152"/>
      <c r="C33" s="152"/>
      <c r="D33" s="146"/>
      <c r="E33" s="146"/>
      <c r="F33" s="43"/>
      <c r="G33" s="43"/>
      <c r="H33" s="30" t="s">
        <v>25</v>
      </c>
      <c r="I33" s="30"/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spans="1:21" ht="53.5" customHeight="1" thickBot="1" x14ac:dyDescent="0.4">
      <c r="A34" s="145"/>
      <c r="B34" s="152"/>
      <c r="C34" s="152"/>
      <c r="D34" s="146"/>
      <c r="E34" s="146"/>
      <c r="F34" s="43"/>
      <c r="G34" s="43"/>
      <c r="H34" s="166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60"/>
    </row>
    <row r="35" spans="1:21" ht="6" customHeight="1" x14ac:dyDescent="0.35">
      <c r="A35" s="145"/>
      <c r="B35" s="152"/>
      <c r="C35" s="152"/>
      <c r="D35" s="146"/>
      <c r="E35" s="146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130"/>
    </row>
    <row r="36" spans="1:21" ht="14.5" customHeight="1" thickBot="1" x14ac:dyDescent="0.4">
      <c r="A36" s="145" t="s">
        <v>26</v>
      </c>
      <c r="B36" s="146" t="s">
        <v>224</v>
      </c>
      <c r="C36" s="146"/>
      <c r="D36" s="146"/>
      <c r="E36" s="146"/>
      <c r="F36" s="43"/>
      <c r="G36" s="43"/>
      <c r="H36" s="43"/>
      <c r="I36" s="43"/>
      <c r="J36" s="43"/>
      <c r="K36" s="129"/>
      <c r="L36" s="124"/>
      <c r="M36" s="130"/>
      <c r="N36" s="130"/>
      <c r="O36" s="130"/>
      <c r="P36" s="130"/>
      <c r="Q36" s="130"/>
      <c r="R36" s="43"/>
      <c r="S36" s="129"/>
      <c r="T36" s="124"/>
      <c r="U36" s="43"/>
    </row>
    <row r="37" spans="1:21" ht="15" customHeight="1" thickBot="1" x14ac:dyDescent="0.4">
      <c r="A37" s="145"/>
      <c r="B37" s="152"/>
      <c r="C37" s="152" t="s">
        <v>212</v>
      </c>
      <c r="D37" s="146"/>
      <c r="E37" s="146"/>
      <c r="F37" s="43"/>
      <c r="G37" s="43"/>
      <c r="H37" s="174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8"/>
    </row>
    <row r="38" spans="1:21" ht="16.5" customHeight="1" thickBot="1" x14ac:dyDescent="0.4">
      <c r="A38" s="145"/>
      <c r="B38" s="152"/>
      <c r="C38" s="152" t="s">
        <v>213</v>
      </c>
      <c r="D38" s="146"/>
      <c r="E38" s="146"/>
      <c r="F38" s="43"/>
      <c r="G38" s="43"/>
      <c r="H38" s="174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8"/>
    </row>
    <row r="39" spans="1:21" ht="19.399999999999999" customHeight="1" thickBot="1" x14ac:dyDescent="0.4">
      <c r="A39" s="145"/>
      <c r="B39" s="152"/>
      <c r="C39" s="152" t="s">
        <v>214</v>
      </c>
      <c r="D39" s="171"/>
      <c r="E39" s="171"/>
      <c r="F39" s="171"/>
      <c r="G39" s="171"/>
      <c r="H39" s="172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8"/>
    </row>
    <row r="40" spans="1:21" ht="16.5" customHeight="1" thickBot="1" x14ac:dyDescent="0.4">
      <c r="A40" s="145"/>
      <c r="B40" s="152"/>
      <c r="C40" s="152"/>
      <c r="D40" s="146"/>
      <c r="E40" s="146"/>
      <c r="F40" s="43"/>
      <c r="G40" s="43"/>
      <c r="H40" s="30" t="s">
        <v>25</v>
      </c>
      <c r="I40" s="30"/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 spans="1:21" ht="53.5" customHeight="1" thickBot="1" x14ac:dyDescent="0.4">
      <c r="A41" s="145"/>
      <c r="B41" s="152"/>
      <c r="C41" s="152"/>
      <c r="D41" s="146"/>
      <c r="E41" s="146"/>
      <c r="F41" s="43"/>
      <c r="G41" s="43"/>
      <c r="H41" s="166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60"/>
    </row>
    <row r="42" spans="1:21" ht="6" customHeight="1" x14ac:dyDescent="0.35">
      <c r="A42" s="145"/>
      <c r="B42" s="152"/>
      <c r="C42" s="152"/>
      <c r="D42" s="146"/>
      <c r="E42" s="146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130"/>
    </row>
    <row r="43" spans="1:21" ht="14.5" customHeight="1" thickBot="1" x14ac:dyDescent="0.4">
      <c r="A43" s="145" t="s">
        <v>29</v>
      </c>
      <c r="B43" s="146" t="s">
        <v>225</v>
      </c>
      <c r="C43" s="146"/>
      <c r="D43" s="146"/>
      <c r="E43" s="146"/>
      <c r="F43" s="43"/>
      <c r="G43" s="43"/>
      <c r="H43" s="43"/>
      <c r="I43" s="43"/>
      <c r="J43" s="43"/>
      <c r="K43" s="129"/>
      <c r="L43" s="124"/>
      <c r="M43" s="130"/>
      <c r="N43" s="130"/>
      <c r="O43" s="130"/>
      <c r="P43" s="130"/>
      <c r="Q43" s="130"/>
      <c r="R43" s="43"/>
      <c r="S43" s="129"/>
      <c r="T43" s="124"/>
      <c r="U43" s="43"/>
    </row>
    <row r="44" spans="1:21" ht="15" customHeight="1" thickBot="1" x14ac:dyDescent="0.4">
      <c r="A44" s="145"/>
      <c r="B44" s="152"/>
      <c r="C44" s="152" t="s">
        <v>212</v>
      </c>
      <c r="D44" s="146"/>
      <c r="E44" s="146"/>
      <c r="F44" s="43"/>
      <c r="G44" s="43"/>
      <c r="H44" s="174" t="s">
        <v>143</v>
      </c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8"/>
    </row>
    <row r="45" spans="1:21" ht="16.5" customHeight="1" thickBot="1" x14ac:dyDescent="0.4">
      <c r="A45" s="145"/>
      <c r="B45" s="152"/>
      <c r="C45" s="152" t="s">
        <v>213</v>
      </c>
      <c r="D45" s="146"/>
      <c r="E45" s="146"/>
      <c r="F45" s="43"/>
      <c r="G45" s="43"/>
      <c r="H45" s="174" t="s">
        <v>144</v>
      </c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8"/>
    </row>
    <row r="46" spans="1:21" ht="19.399999999999999" customHeight="1" thickBot="1" x14ac:dyDescent="0.4">
      <c r="A46" s="145"/>
      <c r="B46" s="152"/>
      <c r="C46" s="152" t="s">
        <v>214</v>
      </c>
      <c r="D46" s="171"/>
      <c r="E46" s="171"/>
      <c r="F46" s="171"/>
      <c r="G46" s="171"/>
      <c r="H46" s="172" t="s">
        <v>226</v>
      </c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8"/>
    </row>
    <row r="47" spans="1:21" ht="16.5" customHeight="1" thickBot="1" x14ac:dyDescent="0.4">
      <c r="A47" s="145"/>
      <c r="B47" s="152"/>
      <c r="C47" s="152"/>
      <c r="D47" s="146"/>
      <c r="E47" s="146"/>
      <c r="F47" s="43"/>
      <c r="G47" s="43"/>
      <c r="H47" s="30" t="s">
        <v>25</v>
      </c>
      <c r="I47" s="30"/>
      <c r="J47" s="49"/>
      <c r="K47" s="49"/>
      <c r="L47" s="49"/>
      <c r="M47" s="49"/>
      <c r="N47" s="49"/>
      <c r="O47" s="49"/>
      <c r="P47" s="49"/>
      <c r="Q47" s="49"/>
      <c r="R47" s="49"/>
      <c r="S47" s="49"/>
    </row>
    <row r="48" spans="1:21" ht="53.5" customHeight="1" thickBot="1" x14ac:dyDescent="0.4">
      <c r="A48" s="145"/>
      <c r="B48" s="152"/>
      <c r="C48" s="152"/>
      <c r="D48" s="146"/>
      <c r="E48" s="146"/>
      <c r="F48" s="43"/>
      <c r="G48" s="43"/>
      <c r="H48" s="166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60"/>
    </row>
    <row r="49" spans="1:25" ht="15.75" customHeight="1" x14ac:dyDescent="0.35">
      <c r="W49" s="43"/>
      <c r="X49" s="43"/>
      <c r="Y49" s="43"/>
    </row>
    <row r="50" spans="1:25" ht="15.75" customHeight="1" x14ac:dyDescent="0.35">
      <c r="X50" s="43"/>
      <c r="Y50" s="43"/>
    </row>
    <row r="51" spans="1:25" ht="27" customHeight="1" x14ac:dyDescent="0.35">
      <c r="X51" s="43"/>
      <c r="Y51" s="43"/>
    </row>
    <row r="52" spans="1:25" ht="15.75" hidden="1" customHeight="1" x14ac:dyDescent="0.3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15.75" hidden="1" customHeight="1" x14ac:dyDescent="0.35">
      <c r="A53" s="43"/>
      <c r="B53" s="50" t="s">
        <v>227</v>
      </c>
      <c r="V53" s="50" t="s">
        <v>228</v>
      </c>
    </row>
    <row r="54" spans="1:25" ht="15.75" hidden="1" customHeight="1" x14ac:dyDescent="0.35">
      <c r="A54" s="43"/>
    </row>
    <row r="55" spans="1:25" ht="15.75" hidden="1" customHeight="1" x14ac:dyDescent="0.3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18.649999999999999" hidden="1" customHeight="1" x14ac:dyDescent="0.35">
      <c r="A56" s="43"/>
      <c r="B56" s="175" t="s">
        <v>215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15.75" hidden="1" customHeight="1" x14ac:dyDescent="0.35">
      <c r="A57" s="43"/>
      <c r="B57" s="49" t="s">
        <v>56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15.75" hidden="1" customHeight="1" x14ac:dyDescent="0.3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15.75" hidden="1" customHeight="1" x14ac:dyDescent="0.35">
      <c r="A59" s="43"/>
      <c r="B59" s="175" t="s">
        <v>216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15.75" hidden="1" customHeight="1" x14ac:dyDescent="0.35">
      <c r="A60" s="43"/>
      <c r="B60" s="49" t="s">
        <v>56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15.75" hidden="1" customHeight="1" x14ac:dyDescent="0.3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5.75" hidden="1" customHeight="1" x14ac:dyDescent="0.35">
      <c r="A62" s="43"/>
      <c r="B62" s="175" t="s">
        <v>221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5.75" hidden="1" customHeight="1" x14ac:dyDescent="0.35">
      <c r="A63" s="43"/>
      <c r="B63" s="49" t="s">
        <v>56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5.75" hidden="1" customHeight="1" x14ac:dyDescent="0.3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2:2" hidden="1" x14ac:dyDescent="0.35">
      <c r="B65" s="175" t="s">
        <v>226</v>
      </c>
    </row>
    <row r="66" spans="2:2" hidden="1" x14ac:dyDescent="0.35">
      <c r="B66" s="49" t="s">
        <v>56</v>
      </c>
    </row>
    <row r="67" spans="2:2" ht="15.75" hidden="1" customHeight="1" x14ac:dyDescent="0.35">
      <c r="B67" s="43"/>
    </row>
    <row r="68" spans="2:2" hidden="1" x14ac:dyDescent="0.35">
      <c r="B68" s="175" t="s">
        <v>223</v>
      </c>
    </row>
    <row r="69" spans="2:2" hidden="1" x14ac:dyDescent="0.35">
      <c r="B69" s="49" t="s">
        <v>56</v>
      </c>
    </row>
    <row r="70" spans="2:2" ht="15.75" hidden="1" customHeight="1" x14ac:dyDescent="0.35">
      <c r="B70" s="43"/>
    </row>
    <row r="71" spans="2:2" hidden="1" x14ac:dyDescent="0.35">
      <c r="B71" s="175" t="s">
        <v>229</v>
      </c>
    </row>
    <row r="72" spans="2:2" hidden="1" x14ac:dyDescent="0.35">
      <c r="B72" s="49" t="s">
        <v>56</v>
      </c>
    </row>
    <row r="73" spans="2:2" ht="15.75" hidden="1" customHeight="1" x14ac:dyDescent="0.35">
      <c r="B73" s="43"/>
    </row>
    <row r="74" spans="2:2" ht="15.75" customHeight="1" x14ac:dyDescent="0.35">
      <c r="B74" s="43"/>
    </row>
  </sheetData>
  <sheetProtection algorithmName="SHA-512" hashValue="SYWBHo5LwT9ctBl/To85jv4Mwu4LD36bkeyCWNQtr11m7U3pNpsDPA65QHOabpnGzQtubTybP6X6Ndm5Jdik2g==" saltValue="khW/+43Nryt6wdv9TKCRDg==" spinCount="100000" sheet="1" objects="1" scenarios="1" formatCells="0"/>
  <mergeCells count="47"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  <mergeCell ref="H30:U30"/>
    <mergeCell ref="H31:U31"/>
    <mergeCell ref="H32:U32"/>
    <mergeCell ref="H34:U34"/>
    <mergeCell ref="K36:L36"/>
    <mergeCell ref="S36:T36"/>
    <mergeCell ref="H25:N25"/>
    <mergeCell ref="P25:U25"/>
    <mergeCell ref="H27:N27"/>
    <mergeCell ref="P27:U27"/>
    <mergeCell ref="K29:L29"/>
    <mergeCell ref="S29:T29"/>
    <mergeCell ref="H22:N22"/>
    <mergeCell ref="P22:U22"/>
    <mergeCell ref="H23:N23"/>
    <mergeCell ref="P23:U23"/>
    <mergeCell ref="H24:N24"/>
    <mergeCell ref="P24:U24"/>
    <mergeCell ref="H16:U16"/>
    <mergeCell ref="H18:L18"/>
    <mergeCell ref="N18:P18"/>
    <mergeCell ref="R18:U18"/>
    <mergeCell ref="H20:L20"/>
    <mergeCell ref="N20:P20"/>
    <mergeCell ref="R20:U20"/>
    <mergeCell ref="C11:F12"/>
    <mergeCell ref="L11:U12"/>
    <mergeCell ref="H14:L14"/>
    <mergeCell ref="N14:P14"/>
    <mergeCell ref="R14:U14"/>
    <mergeCell ref="H15:U15"/>
    <mergeCell ref="A2:V2"/>
    <mergeCell ref="P3:V3"/>
    <mergeCell ref="T4:V4"/>
    <mergeCell ref="S6:U6"/>
    <mergeCell ref="F8:F9"/>
    <mergeCell ref="L8:U9"/>
  </mergeCells>
  <conditionalFormatting sqref="A8:E9">
    <cfRule type="expression" dxfId="68" priority="22">
      <formula>CELL("protect", INDIRECT(ADDRESS(ROW(), COLUMN())))=0</formula>
    </cfRule>
  </conditionalFormatting>
  <conditionalFormatting sqref="A22:H25 O22:P25">
    <cfRule type="expression" dxfId="67" priority="6">
      <formula>CELL("protect", INDIRECT(ADDRESS(ROW(), COLUMN())))=0</formula>
    </cfRule>
  </conditionalFormatting>
  <conditionalFormatting sqref="A27:H27 O27:P27">
    <cfRule type="expression" dxfId="66" priority="3">
      <formula>CELL("protect", INDIRECT(ADDRESS(ROW(), COLUMN())))=0</formula>
    </cfRule>
  </conditionalFormatting>
  <conditionalFormatting sqref="A8:L8">
    <cfRule type="expression" dxfId="65" priority="2">
      <formula>CELL("protect", INDIRECT(ADDRESS(ROW(), COLUMN())))=0</formula>
    </cfRule>
  </conditionalFormatting>
  <conditionalFormatting sqref="A20:O20">
    <cfRule type="expression" dxfId="64" priority="4">
      <formula>CELL("protect", INDIRECT(ADDRESS(ROW(), COLUMN())))=0</formula>
    </cfRule>
  </conditionalFormatting>
  <conditionalFormatting sqref="A3:P3 W3:XFD4 A4:T4 A5:XFD7 V8:XFD9 G9:K9 A11:C11 G11:K12 V11:XFD12 A12:B12 A13:XFD13 A14:N14 Q14:XFD14 A15:G17 V15:XFD17 A18:O18 Q18:XFD18 A19:XFD19 Q20:XFD20 A21:XFD21 V22:XFD25 V27:XFD27 W49:XFD49 X50:XFD51">
    <cfRule type="expression" dxfId="63" priority="23">
      <formula>CELL("protect", INDIRECT(ADDRESS(ROW(), COLUMN())))=0</formula>
    </cfRule>
  </conditionalFormatting>
  <conditionalFormatting sqref="A10:XFD10">
    <cfRule type="expression" dxfId="62" priority="21">
      <formula>CELL("protect", INDIRECT(ADDRESS(ROW(), COLUMN())))=0</formula>
    </cfRule>
  </conditionalFormatting>
  <conditionalFormatting sqref="A26:XFD26">
    <cfRule type="expression" dxfId="61" priority="14">
      <formula>CELL("protect", INDIRECT(ADDRESS(ROW(), COLUMN())))=0</formula>
    </cfRule>
  </conditionalFormatting>
  <conditionalFormatting sqref="A28:XFD48">
    <cfRule type="expression" dxfId="60" priority="5">
      <formula>CELL("protect", INDIRECT(ADDRESS(ROW(), COLUMN())))=0</formula>
    </cfRule>
  </conditionalFormatting>
  <conditionalFormatting sqref="B56:B57">
    <cfRule type="expression" dxfId="59" priority="20">
      <formula>CELL("protect", INDIRECT(ADDRESS(ROW(), COLUMN())))=0</formula>
    </cfRule>
  </conditionalFormatting>
  <conditionalFormatting sqref="B59:B60">
    <cfRule type="expression" dxfId="58" priority="19">
      <formula>CELL("protect", INDIRECT(ADDRESS(ROW(), COLUMN())))=0</formula>
    </cfRule>
  </conditionalFormatting>
  <conditionalFormatting sqref="B62:B63">
    <cfRule type="expression" dxfId="57" priority="18">
      <formula>CELL("protect", INDIRECT(ADDRESS(ROW(), COLUMN())))=0</formula>
    </cfRule>
  </conditionalFormatting>
  <conditionalFormatting sqref="B65:B66">
    <cfRule type="expression" dxfId="56" priority="17">
      <formula>CELL("protect", INDIRECT(ADDRESS(ROW(), COLUMN())))=0</formula>
    </cfRule>
  </conditionalFormatting>
  <conditionalFormatting sqref="B68:B69">
    <cfRule type="expression" dxfId="55" priority="9">
      <formula>CELL("protect", INDIRECT(ADDRESS(ROW(), COLUMN())))=0</formula>
    </cfRule>
  </conditionalFormatting>
  <conditionalFormatting sqref="B71:B72">
    <cfRule type="expression" dxfId="54" priority="8">
      <formula>CELL("protect", INDIRECT(ADDRESS(ROW(), COLUMN())))=0</formula>
    </cfRule>
  </conditionalFormatting>
  <conditionalFormatting sqref="H34">
    <cfRule type="expression" dxfId="53" priority="10">
      <formula>CELL("protect", INDIRECT(ADDRESS(ROW(), COLUMN())))=0</formula>
    </cfRule>
  </conditionalFormatting>
  <conditionalFormatting sqref="H41">
    <cfRule type="expression" dxfId="52" priority="12">
      <formula>CELL("protect", INDIRECT(ADDRESS(ROW(), COLUMN())))=0</formula>
    </cfRule>
  </conditionalFormatting>
  <conditionalFormatting sqref="H48">
    <cfRule type="expression" dxfId="51" priority="15">
      <formula>CELL("protect", INDIRECT(ADDRESS(ROW(), COLUMN())))=0</formula>
    </cfRule>
  </conditionalFormatting>
  <conditionalFormatting sqref="H33:S33">
    <cfRule type="expression" dxfId="50" priority="11">
      <formula>CELL("protect", INDIRECT(ADDRESS(ROW(), COLUMN())))=0</formula>
    </cfRule>
  </conditionalFormatting>
  <conditionalFormatting sqref="H40:S40">
    <cfRule type="expression" dxfId="49" priority="13">
      <formula>CELL("protect", INDIRECT(ADDRESS(ROW(), COLUMN())))=0</formula>
    </cfRule>
  </conditionalFormatting>
  <conditionalFormatting sqref="H47:S47">
    <cfRule type="expression" dxfId="48" priority="16">
      <formula>CELL("protect", INDIRECT(ADDRESS(ROW(), COLUMN())))=0</formula>
    </cfRule>
  </conditionalFormatting>
  <conditionalFormatting sqref="H15:U16">
    <cfRule type="expression" dxfId="47" priority="7">
      <formula>CELL("protect", INDIRECT(ADDRESS(ROW(), COLUMN())))=0</formula>
    </cfRule>
  </conditionalFormatting>
  <conditionalFormatting sqref="L11">
    <cfRule type="expression" dxfId="46" priority="1">
      <formula>CELL("protect", INDIRECT(ADDRESS(ROW(), COLUMN())))=0</formula>
    </cfRule>
  </conditionalFormatting>
  <dataValidations count="6">
    <dataValidation type="list" allowBlank="1" showInputMessage="1" showErrorMessage="1" sqref="H18:L18 P25:U25" xr:uid="{43284E55-FF78-430B-BBC1-425D62392475}">
      <formula1>$B$56:$B$57</formula1>
    </dataValidation>
    <dataValidation type="list" allowBlank="1" showInputMessage="1" showErrorMessage="1" sqref="R18:U18 N18:O18" xr:uid="{3A177AAF-39C6-4429-A451-C33360737CA9}">
      <formula1>$B$59:$B$60</formula1>
    </dataValidation>
    <dataValidation type="list" allowBlank="1" showInputMessage="1" showErrorMessage="1" sqref="H25" xr:uid="{A4E67E57-2E04-4CF4-AAE2-DC486BD1676A}">
      <formula1>$B$62:$B$63</formula1>
    </dataValidation>
    <dataValidation type="list" allowBlank="1" showInputMessage="1" showErrorMessage="1" sqref="H46:U46" xr:uid="{BEBE1E42-A175-426F-8B7C-C6C5CB2B65E2}">
      <formula1>$B$65:$B$66</formula1>
    </dataValidation>
    <dataValidation type="list" allowBlank="1" showInputMessage="1" showErrorMessage="1" sqref="H32:U32" xr:uid="{F53077C8-CD54-479E-898F-024AA4BDB797}">
      <formula1>$B$68:$B$69</formula1>
    </dataValidation>
    <dataValidation type="list" allowBlank="1" showInputMessage="1" showErrorMessage="1" sqref="H39:U39" xr:uid="{72F65EDE-625E-48D6-A87A-216D828E5A2D}">
      <formula1>$B$71:$B$72</formula1>
    </dataValidation>
  </dataValidations>
  <printOptions horizontalCentered="1"/>
  <pageMargins left="0.43307086614173229" right="0.19685039370078741" top="0.74803149606299213" bottom="0.74803149606299213" header="0.31496062992125984" footer="0.31496062992125984"/>
  <pageSetup paperSize="9" scale="68" firstPageNumber="28" orientation="portrait" useFirstPageNumber="1" r:id="rId1"/>
  <headerFooter>
    <oddFooter>&amp;C
- Part 2-C&amp;P - (Rev.1)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43AA-EBB8-4EA8-87B7-2D3665D23417}">
  <dimension ref="A1:AB74"/>
  <sheetViews>
    <sheetView showGridLines="0" view="pageBreakPreview" topLeftCell="A19" zoomScale="80" zoomScaleNormal="85" zoomScaleSheetLayoutView="80" workbookViewId="0">
      <selection activeCell="H46" sqref="H46:U46"/>
    </sheetView>
  </sheetViews>
  <sheetFormatPr defaultColWidth="8.90625" defaultRowHeight="14.5" x14ac:dyDescent="0.35"/>
  <cols>
    <col min="1" max="1" width="2.08984375" style="50" customWidth="1"/>
    <col min="2" max="4" width="8.90625" style="50"/>
    <col min="5" max="5" width="4.453125" style="50" customWidth="1"/>
    <col min="6" max="6" width="24.08984375" style="50" customWidth="1"/>
    <col min="7" max="7" width="4.453125" style="50" customWidth="1"/>
    <col min="8" max="8" width="2.90625" style="50" customWidth="1"/>
    <col min="9" max="10" width="1.08984375" style="50" customWidth="1"/>
    <col min="11" max="11" width="14" style="50" customWidth="1"/>
    <col min="12" max="12" width="3.453125" style="50" customWidth="1"/>
    <col min="13" max="13" width="1.08984375" style="50" customWidth="1"/>
    <col min="14" max="14" width="10" style="50" customWidth="1"/>
    <col min="15" max="15" width="1.08984375" style="50" customWidth="1"/>
    <col min="16" max="16" width="10" style="50" customWidth="1"/>
    <col min="17" max="17" width="1.08984375" style="50" customWidth="1"/>
    <col min="18" max="18" width="3" style="50" customWidth="1"/>
    <col min="19" max="19" width="2.08984375" style="50" customWidth="1"/>
    <col min="20" max="20" width="12.08984375" style="50" customWidth="1"/>
    <col min="21" max="21" width="4.08984375" style="50" customWidth="1"/>
    <col min="22" max="22" width="4" style="50" customWidth="1"/>
    <col min="23" max="16384" width="8.90625" style="50"/>
  </cols>
  <sheetData>
    <row r="1" spans="1:22" ht="6" customHeight="1" x14ac:dyDescent="0.3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 t="s">
        <v>202</v>
      </c>
      <c r="S1" s="43"/>
      <c r="T1" s="43"/>
      <c r="U1" s="43"/>
      <c r="V1" s="43"/>
    </row>
    <row r="2" spans="1:22" ht="23.15" customHeight="1" x14ac:dyDescent="0.35">
      <c r="A2" s="29" t="s">
        <v>203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</row>
    <row r="3" spans="1:22" ht="15" customHeight="1" x14ac:dyDescent="0.3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125" t="s">
        <v>204</v>
      </c>
      <c r="Q3" s="124"/>
      <c r="R3" s="124"/>
      <c r="S3" s="124"/>
      <c r="T3" s="124"/>
      <c r="U3" s="124"/>
      <c r="V3" s="124"/>
    </row>
    <row r="4" spans="1:22" ht="15" customHeight="1" x14ac:dyDescent="0.3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126" t="s">
        <v>205</v>
      </c>
      <c r="U4" s="124"/>
      <c r="V4" s="124"/>
    </row>
    <row r="5" spans="1:22" ht="15" customHeight="1" x14ac:dyDescent="0.3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127"/>
      <c r="U5" s="43"/>
      <c r="V5" s="43"/>
    </row>
    <row r="6" spans="1:22" ht="15.75" customHeight="1" x14ac:dyDescent="0.35">
      <c r="A6" s="128" t="s">
        <v>3</v>
      </c>
      <c r="B6" s="43"/>
      <c r="C6" s="43"/>
      <c r="D6" s="43"/>
      <c r="E6" s="43"/>
      <c r="F6" s="43"/>
      <c r="G6" s="43"/>
      <c r="H6" s="128"/>
      <c r="I6" s="43"/>
      <c r="J6" s="43"/>
      <c r="K6" s="43"/>
      <c r="L6" s="43"/>
      <c r="M6" s="43"/>
      <c r="N6" s="43"/>
      <c r="O6" s="43"/>
      <c r="P6" s="43"/>
      <c r="Q6" s="43"/>
      <c r="R6" s="43"/>
      <c r="S6" s="129"/>
      <c r="T6" s="124"/>
      <c r="U6" s="124"/>
      <c r="V6" s="43"/>
    </row>
    <row r="7" spans="1:22" ht="5.15" customHeight="1" thickBot="1" x14ac:dyDescent="0.4">
      <c r="A7" s="128"/>
      <c r="B7" s="43"/>
      <c r="C7" s="43"/>
      <c r="D7" s="43"/>
      <c r="E7" s="43"/>
      <c r="F7" s="43"/>
      <c r="G7" s="43"/>
      <c r="H7" s="128"/>
      <c r="I7" s="43"/>
      <c r="J7" s="43"/>
      <c r="K7" s="43"/>
      <c r="L7" s="43"/>
      <c r="M7" s="43"/>
      <c r="N7" s="43"/>
      <c r="O7" s="43"/>
      <c r="P7" s="43"/>
      <c r="Q7" s="43"/>
      <c r="R7" s="43"/>
      <c r="S7" s="130"/>
      <c r="T7" s="130"/>
      <c r="U7" s="130"/>
      <c r="V7" s="43"/>
    </row>
    <row r="8" spans="1:22" ht="15.65" customHeight="1" x14ac:dyDescent="0.35">
      <c r="A8" s="128" t="s">
        <v>4</v>
      </c>
      <c r="B8" s="43"/>
      <c r="C8" s="43"/>
      <c r="D8" s="43"/>
      <c r="E8" s="43"/>
      <c r="F8" s="131" t="s">
        <v>5</v>
      </c>
      <c r="G8" s="43"/>
      <c r="H8" s="128" t="s">
        <v>6</v>
      </c>
      <c r="I8" s="43"/>
      <c r="J8" s="43"/>
      <c r="K8" s="43"/>
      <c r="L8" s="132" t="s">
        <v>206</v>
      </c>
      <c r="M8" s="133"/>
      <c r="N8" s="133"/>
      <c r="O8" s="133"/>
      <c r="P8" s="133"/>
      <c r="Q8" s="133"/>
      <c r="R8" s="133"/>
      <c r="S8" s="133"/>
      <c r="T8" s="133"/>
      <c r="U8" s="134"/>
      <c r="V8" s="43"/>
    </row>
    <row r="9" spans="1:22" ht="16.5" customHeight="1" x14ac:dyDescent="0.35">
      <c r="A9" s="128"/>
      <c r="B9" s="43"/>
      <c r="C9" s="43"/>
      <c r="D9" s="43"/>
      <c r="E9" s="43"/>
      <c r="F9" s="135"/>
      <c r="G9" s="43"/>
      <c r="H9" s="128"/>
      <c r="I9" s="43"/>
      <c r="J9" s="43"/>
      <c r="K9" s="43"/>
      <c r="L9" s="136"/>
      <c r="M9" s="137"/>
      <c r="N9" s="137"/>
      <c r="O9" s="137"/>
      <c r="P9" s="137"/>
      <c r="Q9" s="137"/>
      <c r="R9" s="137"/>
      <c r="S9" s="137"/>
      <c r="T9" s="137"/>
      <c r="U9" s="138"/>
      <c r="V9" s="43"/>
    </row>
    <row r="10" spans="1:22" ht="5.15" customHeight="1" thickBot="1" x14ac:dyDescent="0.4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spans="1:22" ht="15.75" customHeight="1" x14ac:dyDescent="0.35">
      <c r="A11" s="128" t="s">
        <v>8</v>
      </c>
      <c r="B11" s="43"/>
      <c r="C11" s="132" t="s">
        <v>9</v>
      </c>
      <c r="D11" s="133"/>
      <c r="E11" s="133"/>
      <c r="F11" s="134"/>
      <c r="G11" s="43"/>
      <c r="H11" s="128" t="s">
        <v>10</v>
      </c>
      <c r="I11" s="43"/>
      <c r="J11" s="43"/>
      <c r="K11" s="43"/>
      <c r="L11" s="139" t="s">
        <v>207</v>
      </c>
      <c r="M11" s="140"/>
      <c r="N11" s="140"/>
      <c r="O11" s="140"/>
      <c r="P11" s="140"/>
      <c r="Q11" s="140"/>
      <c r="R11" s="140"/>
      <c r="S11" s="140"/>
      <c r="T11" s="140"/>
      <c r="U11" s="141"/>
      <c r="V11" s="43"/>
    </row>
    <row r="12" spans="1:22" ht="16.5" customHeight="1" x14ac:dyDescent="0.35">
      <c r="A12" s="128"/>
      <c r="B12" s="43"/>
      <c r="C12" s="136"/>
      <c r="D12" s="137"/>
      <c r="E12" s="137"/>
      <c r="F12" s="138"/>
      <c r="G12" s="43"/>
      <c r="H12" s="128"/>
      <c r="I12" s="43"/>
      <c r="J12" s="43"/>
      <c r="K12" s="43"/>
      <c r="L12" s="142"/>
      <c r="M12" s="143"/>
      <c r="N12" s="143"/>
      <c r="O12" s="143"/>
      <c r="P12" s="143"/>
      <c r="Q12" s="143"/>
      <c r="R12" s="143"/>
      <c r="S12" s="143"/>
      <c r="T12" s="143"/>
      <c r="U12" s="144"/>
      <c r="V12" s="43"/>
    </row>
    <row r="13" spans="1:22" ht="15.75" customHeight="1" x14ac:dyDescent="0.35">
      <c r="A13" s="128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spans="1:22" ht="39.65" customHeight="1" thickBot="1" x14ac:dyDescent="0.4">
      <c r="A14" s="145" t="s">
        <v>12</v>
      </c>
      <c r="B14" s="146" t="s">
        <v>208</v>
      </c>
      <c r="C14" s="146"/>
      <c r="D14" s="146"/>
      <c r="E14" s="146"/>
      <c r="F14" s="146"/>
      <c r="G14" s="146"/>
      <c r="H14" s="147" t="s">
        <v>209</v>
      </c>
      <c r="I14" s="124"/>
      <c r="J14" s="124"/>
      <c r="K14" s="124"/>
      <c r="L14" s="124"/>
      <c r="M14" s="148"/>
      <c r="N14" s="149" t="s">
        <v>210</v>
      </c>
      <c r="O14" s="150"/>
      <c r="P14" s="150"/>
      <c r="Q14" s="148"/>
      <c r="R14" s="151" t="s">
        <v>211</v>
      </c>
      <c r="S14" s="124"/>
      <c r="T14" s="124"/>
      <c r="U14" s="124"/>
      <c r="V14" s="43"/>
    </row>
    <row r="15" spans="1:22" ht="15" customHeight="1" thickBot="1" x14ac:dyDescent="0.4">
      <c r="A15" s="145"/>
      <c r="B15" s="152"/>
      <c r="C15" s="152" t="s">
        <v>212</v>
      </c>
      <c r="D15" s="146"/>
      <c r="E15" s="146"/>
      <c r="F15" s="43"/>
      <c r="G15" s="43"/>
      <c r="H15" s="153" t="s">
        <v>197</v>
      </c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5"/>
      <c r="V15" s="43"/>
    </row>
    <row r="16" spans="1:22" ht="16.5" customHeight="1" thickBot="1" x14ac:dyDescent="0.4">
      <c r="A16" s="145"/>
      <c r="B16" s="152"/>
      <c r="C16" s="152" t="s">
        <v>213</v>
      </c>
      <c r="D16" s="146"/>
      <c r="E16" s="146"/>
      <c r="F16" s="43"/>
      <c r="G16" s="43"/>
      <c r="H16" s="153" t="s">
        <v>144</v>
      </c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5"/>
      <c r="V16" s="43"/>
    </row>
    <row r="17" spans="1:28" ht="3.65" customHeight="1" thickBot="1" x14ac:dyDescent="0.4">
      <c r="A17" s="145"/>
      <c r="B17" s="152"/>
      <c r="C17" s="152"/>
      <c r="D17" s="146"/>
      <c r="E17" s="146"/>
      <c r="F17" s="43"/>
      <c r="G17" s="43"/>
      <c r="V17" s="43"/>
      <c r="W17" s="43"/>
      <c r="X17" s="43"/>
      <c r="Y17" s="43"/>
      <c r="Z17" s="43"/>
      <c r="AA17" s="43"/>
      <c r="AB17" s="43"/>
    </row>
    <row r="18" spans="1:28" ht="47.5" customHeight="1" thickBot="1" x14ac:dyDescent="0.4">
      <c r="A18" s="145"/>
      <c r="B18" s="152"/>
      <c r="C18" s="152" t="s">
        <v>214</v>
      </c>
      <c r="D18" s="146"/>
      <c r="E18" s="146"/>
      <c r="F18" s="146"/>
      <c r="G18" s="146"/>
      <c r="H18" s="156" t="s">
        <v>215</v>
      </c>
      <c r="I18" s="157"/>
      <c r="J18" s="157"/>
      <c r="K18" s="157"/>
      <c r="L18" s="158"/>
      <c r="M18" s="145"/>
      <c r="N18" s="159" t="s">
        <v>216</v>
      </c>
      <c r="O18" s="157"/>
      <c r="P18" s="160"/>
      <c r="Q18" s="145"/>
      <c r="R18" s="156"/>
      <c r="S18" s="157"/>
      <c r="T18" s="157"/>
      <c r="U18" s="158"/>
      <c r="V18" s="43"/>
      <c r="W18" s="43"/>
      <c r="X18" s="43"/>
      <c r="Y18" s="43"/>
      <c r="Z18" s="43"/>
      <c r="AA18" s="43"/>
      <c r="AB18" s="43"/>
    </row>
    <row r="19" spans="1:28" ht="15" customHeight="1" thickBot="1" x14ac:dyDescent="0.4">
      <c r="A19" s="145"/>
      <c r="B19" s="152"/>
      <c r="C19" s="152"/>
      <c r="D19" s="146"/>
      <c r="E19" s="146"/>
      <c r="F19" s="146"/>
      <c r="G19" s="146"/>
      <c r="H19" s="161" t="s">
        <v>25</v>
      </c>
      <c r="I19" s="162"/>
      <c r="V19" s="43"/>
      <c r="W19" s="43"/>
      <c r="X19" s="43"/>
      <c r="Y19" s="43"/>
      <c r="Z19" s="43"/>
      <c r="AA19" s="43"/>
      <c r="AB19" s="43"/>
    </row>
    <row r="20" spans="1:28" ht="53.5" customHeight="1" thickBot="1" x14ac:dyDescent="0.4">
      <c r="A20" s="145"/>
      <c r="B20" s="152"/>
      <c r="C20" s="152"/>
      <c r="D20" s="146"/>
      <c r="E20" s="146"/>
      <c r="F20" s="146"/>
      <c r="G20" s="146"/>
      <c r="H20" s="163"/>
      <c r="I20" s="164"/>
      <c r="J20" s="164"/>
      <c r="K20" s="164"/>
      <c r="L20" s="165"/>
      <c r="M20" s="145"/>
      <c r="N20" s="159"/>
      <c r="O20" s="157"/>
      <c r="P20" s="160"/>
      <c r="Q20" s="146"/>
      <c r="R20" s="166"/>
      <c r="S20" s="157"/>
      <c r="T20" s="157"/>
      <c r="U20" s="160"/>
      <c r="V20" s="43"/>
      <c r="W20" s="43"/>
      <c r="X20" s="43"/>
      <c r="Y20" s="43"/>
      <c r="Z20" s="43"/>
      <c r="AA20" s="43"/>
      <c r="AB20" s="167"/>
    </row>
    <row r="21" spans="1:28" ht="6" customHeight="1" x14ac:dyDescent="0.35">
      <c r="A21" s="145"/>
      <c r="B21" s="152"/>
      <c r="C21" s="152"/>
      <c r="D21" s="146"/>
      <c r="E21" s="146"/>
      <c r="F21" s="43"/>
      <c r="G21" s="43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43"/>
      <c r="W21" s="43"/>
      <c r="X21" s="43"/>
      <c r="Y21" s="43"/>
      <c r="Z21" s="43"/>
      <c r="AA21" s="43"/>
      <c r="AB21" s="43"/>
    </row>
    <row r="22" spans="1:28" ht="22.4" customHeight="1" thickBot="1" x14ac:dyDescent="0.4">
      <c r="A22" s="145" t="s">
        <v>19</v>
      </c>
      <c r="B22" s="146" t="s">
        <v>217</v>
      </c>
      <c r="C22" s="146"/>
      <c r="D22" s="146"/>
      <c r="E22" s="146"/>
      <c r="F22" s="43"/>
      <c r="G22" s="43"/>
      <c r="H22" s="149" t="s">
        <v>218</v>
      </c>
      <c r="I22" s="150"/>
      <c r="J22" s="150"/>
      <c r="K22" s="150"/>
      <c r="L22" s="150"/>
      <c r="M22" s="150"/>
      <c r="N22" s="150"/>
      <c r="O22" s="168"/>
      <c r="P22" s="149" t="s">
        <v>219</v>
      </c>
      <c r="Q22" s="150"/>
      <c r="R22" s="150"/>
      <c r="S22" s="150"/>
      <c r="T22" s="150"/>
      <c r="U22" s="150"/>
      <c r="V22" s="43"/>
      <c r="W22" s="43"/>
      <c r="X22" s="43"/>
      <c r="Y22" s="43"/>
      <c r="Z22" s="43"/>
      <c r="AA22" s="43"/>
      <c r="AB22" s="43"/>
    </row>
    <row r="23" spans="1:28" ht="16.5" customHeight="1" thickBot="1" x14ac:dyDescent="0.4">
      <c r="A23" s="145"/>
      <c r="B23" s="152"/>
      <c r="C23" s="152" t="s">
        <v>212</v>
      </c>
      <c r="D23" s="146"/>
      <c r="E23" s="146"/>
      <c r="F23" s="43"/>
      <c r="G23" s="43"/>
      <c r="H23" s="153" t="s">
        <v>197</v>
      </c>
      <c r="I23" s="157"/>
      <c r="J23" s="157"/>
      <c r="K23" s="157"/>
      <c r="L23" s="157"/>
      <c r="M23" s="157"/>
      <c r="N23" s="160"/>
      <c r="O23" s="43"/>
      <c r="P23" s="153" t="s">
        <v>197</v>
      </c>
      <c r="Q23" s="157"/>
      <c r="R23" s="157"/>
      <c r="S23" s="157"/>
      <c r="T23" s="157"/>
      <c r="U23" s="160"/>
      <c r="V23" s="43"/>
      <c r="W23" s="43"/>
      <c r="X23" s="43"/>
      <c r="Y23" s="43"/>
      <c r="Z23" s="43"/>
      <c r="AA23" s="43"/>
      <c r="AB23" s="43"/>
    </row>
    <row r="24" spans="1:28" ht="16.5" customHeight="1" thickBot="1" x14ac:dyDescent="0.4">
      <c r="A24" s="145"/>
      <c r="B24" s="152"/>
      <c r="C24" s="152" t="s">
        <v>213</v>
      </c>
      <c r="D24" s="146"/>
      <c r="E24" s="146"/>
      <c r="F24" s="43"/>
      <c r="G24" s="43"/>
      <c r="H24" s="153" t="s">
        <v>144</v>
      </c>
      <c r="I24" s="157"/>
      <c r="J24" s="157"/>
      <c r="K24" s="157"/>
      <c r="L24" s="157"/>
      <c r="M24" s="157"/>
      <c r="N24" s="160"/>
      <c r="O24" s="43"/>
      <c r="P24" s="153" t="s">
        <v>144</v>
      </c>
      <c r="Q24" s="157"/>
      <c r="R24" s="157"/>
      <c r="S24" s="157"/>
      <c r="T24" s="157"/>
      <c r="U24" s="160"/>
      <c r="V24" s="43"/>
      <c r="W24" s="43"/>
      <c r="X24" s="43"/>
      <c r="Y24" s="43"/>
      <c r="Z24" s="43"/>
      <c r="AA24" s="43"/>
      <c r="AB24" s="43"/>
    </row>
    <row r="25" spans="1:28" ht="35.15" customHeight="1" thickBot="1" x14ac:dyDescent="0.4">
      <c r="A25" s="145"/>
      <c r="B25" s="152"/>
      <c r="C25" s="152" t="s">
        <v>214</v>
      </c>
      <c r="D25" s="146"/>
      <c r="E25" s="146"/>
      <c r="F25" s="43"/>
      <c r="G25" s="43"/>
      <c r="H25" s="159" t="s">
        <v>221</v>
      </c>
      <c r="I25" s="157"/>
      <c r="J25" s="157"/>
      <c r="K25" s="157"/>
      <c r="L25" s="157"/>
      <c r="M25" s="157"/>
      <c r="N25" s="160"/>
      <c r="O25" s="130"/>
      <c r="P25" s="159" t="s">
        <v>215</v>
      </c>
      <c r="Q25" s="157"/>
      <c r="R25" s="157"/>
      <c r="S25" s="157"/>
      <c r="T25" s="157"/>
      <c r="U25" s="160"/>
      <c r="V25" s="43"/>
      <c r="W25" s="43"/>
      <c r="X25" s="43"/>
      <c r="Y25" s="43"/>
      <c r="Z25" s="43"/>
      <c r="AA25" s="43"/>
      <c r="AB25" s="43"/>
    </row>
    <row r="26" spans="1:28" ht="16.5" customHeight="1" thickBot="1" x14ac:dyDescent="0.4">
      <c r="A26" s="145"/>
      <c r="B26" s="152"/>
      <c r="C26" s="152"/>
      <c r="D26" s="146"/>
      <c r="E26" s="146"/>
      <c r="F26" s="43"/>
      <c r="G26" s="43"/>
      <c r="H26" s="30" t="s">
        <v>25</v>
      </c>
      <c r="V26" s="43"/>
      <c r="W26" s="43"/>
      <c r="X26" s="43"/>
      <c r="Y26" s="43"/>
      <c r="Z26" s="43"/>
      <c r="AA26" s="43"/>
      <c r="AB26" s="43"/>
    </row>
    <row r="27" spans="1:28" ht="41.5" customHeight="1" thickBot="1" x14ac:dyDescent="0.4">
      <c r="A27" s="145"/>
      <c r="B27" s="152"/>
      <c r="C27" s="152"/>
      <c r="D27" s="146"/>
      <c r="E27" s="146"/>
      <c r="F27" s="43"/>
      <c r="G27" s="43"/>
      <c r="H27" s="169"/>
      <c r="I27" s="157"/>
      <c r="J27" s="157"/>
      <c r="K27" s="157"/>
      <c r="L27" s="157"/>
      <c r="M27" s="157"/>
      <c r="N27" s="160"/>
      <c r="O27" s="43"/>
      <c r="P27" s="170"/>
      <c r="Q27" s="157"/>
      <c r="R27" s="157"/>
      <c r="S27" s="157"/>
      <c r="T27" s="157"/>
      <c r="U27" s="160"/>
      <c r="V27" s="43"/>
      <c r="W27" s="43"/>
      <c r="X27" s="43"/>
      <c r="Y27" s="43"/>
      <c r="Z27" s="43"/>
      <c r="AA27" s="43"/>
      <c r="AB27" s="43"/>
    </row>
    <row r="28" spans="1:28" ht="6" customHeight="1" x14ac:dyDescent="0.35">
      <c r="A28" s="145"/>
      <c r="B28" s="152"/>
      <c r="C28" s="152"/>
      <c r="D28" s="146"/>
      <c r="E28" s="146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130"/>
      <c r="V28" s="43"/>
      <c r="W28" s="43"/>
      <c r="X28" s="43"/>
      <c r="Y28" s="43"/>
      <c r="Z28" s="43"/>
      <c r="AA28" s="43"/>
      <c r="AB28" s="43"/>
    </row>
    <row r="29" spans="1:28" ht="14.5" customHeight="1" thickBot="1" x14ac:dyDescent="0.4">
      <c r="A29" s="145" t="s">
        <v>22</v>
      </c>
      <c r="B29" s="146" t="s">
        <v>222</v>
      </c>
      <c r="C29" s="146"/>
      <c r="D29" s="146"/>
      <c r="E29" s="146"/>
      <c r="F29" s="43"/>
      <c r="G29" s="43"/>
      <c r="H29" s="43"/>
      <c r="I29" s="43"/>
      <c r="J29" s="43"/>
      <c r="K29" s="129"/>
      <c r="L29" s="124"/>
      <c r="M29" s="130"/>
      <c r="N29" s="130"/>
      <c r="O29" s="130"/>
      <c r="P29" s="130"/>
      <c r="Q29" s="130"/>
      <c r="R29" s="43"/>
      <c r="S29" s="129"/>
      <c r="T29" s="124"/>
      <c r="U29" s="43"/>
      <c r="V29" s="43"/>
      <c r="W29" s="43"/>
      <c r="X29" s="43"/>
      <c r="Y29" s="43"/>
      <c r="Z29" s="43"/>
      <c r="AA29" s="43"/>
      <c r="AB29" s="43"/>
    </row>
    <row r="30" spans="1:28" ht="15" customHeight="1" thickBot="1" x14ac:dyDescent="0.4">
      <c r="A30" s="145"/>
      <c r="B30" s="152"/>
      <c r="C30" s="152" t="s">
        <v>212</v>
      </c>
      <c r="D30" s="146"/>
      <c r="E30" s="146"/>
      <c r="F30" s="43"/>
      <c r="G30" s="43"/>
      <c r="H30" s="153" t="s">
        <v>197</v>
      </c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5"/>
      <c r="V30" s="43"/>
      <c r="W30" s="43"/>
      <c r="X30" s="43"/>
      <c r="Y30" s="43"/>
      <c r="Z30" s="43"/>
      <c r="AA30" s="43"/>
      <c r="AB30" s="43"/>
    </row>
    <row r="31" spans="1:28" ht="16.5" customHeight="1" thickBot="1" x14ac:dyDescent="0.4">
      <c r="A31" s="145"/>
      <c r="B31" s="152"/>
      <c r="C31" s="152" t="s">
        <v>213</v>
      </c>
      <c r="D31" s="146"/>
      <c r="E31" s="146"/>
      <c r="F31" s="43"/>
      <c r="G31" s="43"/>
      <c r="H31" s="153" t="s">
        <v>144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5"/>
      <c r="V31" s="43"/>
      <c r="W31" s="43"/>
      <c r="X31" s="43"/>
      <c r="Y31" s="43"/>
      <c r="Z31" s="43"/>
      <c r="AA31" s="43"/>
      <c r="AB31" s="43"/>
    </row>
    <row r="32" spans="1:28" ht="18.649999999999999" customHeight="1" thickBot="1" x14ac:dyDescent="0.4">
      <c r="A32" s="145"/>
      <c r="B32" s="152"/>
      <c r="C32" s="152" t="s">
        <v>214</v>
      </c>
      <c r="D32" s="171"/>
      <c r="E32" s="171"/>
      <c r="F32" s="171"/>
      <c r="G32" s="171"/>
      <c r="H32" s="172" t="s">
        <v>223</v>
      </c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73"/>
      <c r="V32" s="43"/>
      <c r="W32" s="43"/>
      <c r="X32" s="43"/>
      <c r="Y32" s="43"/>
      <c r="Z32" s="43"/>
      <c r="AA32" s="43"/>
      <c r="AB32" s="43"/>
    </row>
    <row r="33" spans="1:21" ht="16.5" customHeight="1" thickBot="1" x14ac:dyDescent="0.4">
      <c r="A33" s="145"/>
      <c r="B33" s="152"/>
      <c r="C33" s="152"/>
      <c r="D33" s="146"/>
      <c r="E33" s="146"/>
      <c r="F33" s="43"/>
      <c r="G33" s="43"/>
      <c r="H33" s="30" t="s">
        <v>25</v>
      </c>
      <c r="I33" s="30"/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spans="1:21" ht="53.5" customHeight="1" thickBot="1" x14ac:dyDescent="0.4">
      <c r="A34" s="145"/>
      <c r="B34" s="152"/>
      <c r="C34" s="152"/>
      <c r="D34" s="146"/>
      <c r="E34" s="146"/>
      <c r="F34" s="43"/>
      <c r="G34" s="43"/>
      <c r="H34" s="166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60"/>
    </row>
    <row r="35" spans="1:21" ht="6" customHeight="1" x14ac:dyDescent="0.35">
      <c r="A35" s="145"/>
      <c r="B35" s="152"/>
      <c r="C35" s="152"/>
      <c r="D35" s="146"/>
      <c r="E35" s="146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130"/>
    </row>
    <row r="36" spans="1:21" ht="14.5" customHeight="1" thickBot="1" x14ac:dyDescent="0.4">
      <c r="A36" s="145" t="s">
        <v>26</v>
      </c>
      <c r="B36" s="146" t="s">
        <v>224</v>
      </c>
      <c r="C36" s="146"/>
      <c r="D36" s="146"/>
      <c r="E36" s="146"/>
      <c r="F36" s="43"/>
      <c r="G36" s="43"/>
      <c r="H36" s="43"/>
      <c r="I36" s="43"/>
      <c r="J36" s="43"/>
      <c r="K36" s="129"/>
      <c r="L36" s="124"/>
      <c r="M36" s="130"/>
      <c r="N36" s="130"/>
      <c r="O36" s="130"/>
      <c r="P36" s="130"/>
      <c r="Q36" s="130"/>
      <c r="R36" s="43"/>
      <c r="S36" s="129"/>
      <c r="T36" s="124"/>
      <c r="U36" s="43"/>
    </row>
    <row r="37" spans="1:21" ht="15" customHeight="1" thickBot="1" x14ac:dyDescent="0.4">
      <c r="A37" s="145"/>
      <c r="B37" s="152"/>
      <c r="C37" s="152" t="s">
        <v>212</v>
      </c>
      <c r="D37" s="146"/>
      <c r="E37" s="146"/>
      <c r="F37" s="43"/>
      <c r="G37" s="43"/>
      <c r="H37" s="174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8"/>
    </row>
    <row r="38" spans="1:21" ht="16.5" customHeight="1" thickBot="1" x14ac:dyDescent="0.4">
      <c r="A38" s="145"/>
      <c r="B38" s="152"/>
      <c r="C38" s="152" t="s">
        <v>213</v>
      </c>
      <c r="D38" s="146"/>
      <c r="E38" s="146"/>
      <c r="F38" s="43"/>
      <c r="G38" s="43"/>
      <c r="H38" s="174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8"/>
    </row>
    <row r="39" spans="1:21" ht="19.399999999999999" customHeight="1" thickBot="1" x14ac:dyDescent="0.4">
      <c r="A39" s="145"/>
      <c r="B39" s="152"/>
      <c r="C39" s="152" t="s">
        <v>214</v>
      </c>
      <c r="D39" s="171"/>
      <c r="E39" s="171"/>
      <c r="F39" s="171"/>
      <c r="G39" s="171"/>
      <c r="H39" s="172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8"/>
    </row>
    <row r="40" spans="1:21" ht="16.5" customHeight="1" thickBot="1" x14ac:dyDescent="0.4">
      <c r="A40" s="145"/>
      <c r="B40" s="152"/>
      <c r="C40" s="152"/>
      <c r="D40" s="146"/>
      <c r="E40" s="146"/>
      <c r="F40" s="43"/>
      <c r="G40" s="43"/>
      <c r="H40" s="30" t="s">
        <v>25</v>
      </c>
      <c r="I40" s="30"/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 spans="1:21" ht="53.5" customHeight="1" thickBot="1" x14ac:dyDescent="0.4">
      <c r="A41" s="145"/>
      <c r="B41" s="152"/>
      <c r="C41" s="152"/>
      <c r="D41" s="146"/>
      <c r="E41" s="146"/>
      <c r="F41" s="43"/>
      <c r="G41" s="43"/>
      <c r="H41" s="166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60"/>
    </row>
    <row r="42" spans="1:21" ht="6" customHeight="1" x14ac:dyDescent="0.35">
      <c r="A42" s="145"/>
      <c r="B42" s="152"/>
      <c r="C42" s="152"/>
      <c r="D42" s="146"/>
      <c r="E42" s="146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130"/>
    </row>
    <row r="43" spans="1:21" ht="14.5" customHeight="1" thickBot="1" x14ac:dyDescent="0.4">
      <c r="A43" s="145" t="s">
        <v>29</v>
      </c>
      <c r="B43" s="146" t="s">
        <v>225</v>
      </c>
      <c r="C43" s="146"/>
      <c r="D43" s="146"/>
      <c r="E43" s="146"/>
      <c r="F43" s="43"/>
      <c r="G43" s="43"/>
      <c r="H43" s="43"/>
      <c r="I43" s="43"/>
      <c r="J43" s="43"/>
      <c r="K43" s="129"/>
      <c r="L43" s="124"/>
      <c r="M43" s="130"/>
      <c r="N43" s="130"/>
      <c r="O43" s="130"/>
      <c r="P43" s="130"/>
      <c r="Q43" s="130"/>
      <c r="R43" s="43"/>
      <c r="S43" s="129"/>
      <c r="T43" s="124"/>
      <c r="U43" s="43"/>
    </row>
    <row r="44" spans="1:21" ht="15" customHeight="1" thickBot="1" x14ac:dyDescent="0.4">
      <c r="A44" s="145"/>
      <c r="B44" s="152"/>
      <c r="C44" s="152" t="s">
        <v>212</v>
      </c>
      <c r="D44" s="146"/>
      <c r="E44" s="146"/>
      <c r="F44" s="43"/>
      <c r="G44" s="43"/>
      <c r="H44" s="174" t="s">
        <v>197</v>
      </c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73"/>
    </row>
    <row r="45" spans="1:21" ht="16.5" customHeight="1" thickBot="1" x14ac:dyDescent="0.4">
      <c r="A45" s="145"/>
      <c r="B45" s="152"/>
      <c r="C45" s="152" t="s">
        <v>213</v>
      </c>
      <c r="D45" s="146"/>
      <c r="E45" s="146"/>
      <c r="F45" s="43"/>
      <c r="G45" s="43"/>
      <c r="H45" s="174" t="s">
        <v>144</v>
      </c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73"/>
    </row>
    <row r="46" spans="1:21" ht="19.399999999999999" customHeight="1" thickBot="1" x14ac:dyDescent="0.4">
      <c r="A46" s="145"/>
      <c r="B46" s="152"/>
      <c r="C46" s="152" t="s">
        <v>214</v>
      </c>
      <c r="D46" s="171"/>
      <c r="E46" s="171"/>
      <c r="F46" s="171"/>
      <c r="G46" s="171"/>
      <c r="H46" s="172" t="s">
        <v>226</v>
      </c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73"/>
    </row>
    <row r="47" spans="1:21" ht="16.5" customHeight="1" thickBot="1" x14ac:dyDescent="0.4">
      <c r="A47" s="145"/>
      <c r="B47" s="152"/>
      <c r="C47" s="152"/>
      <c r="D47" s="146"/>
      <c r="E47" s="146"/>
      <c r="F47" s="43"/>
      <c r="G47" s="43"/>
      <c r="H47" s="30" t="s">
        <v>25</v>
      </c>
      <c r="I47" s="30"/>
      <c r="J47" s="49"/>
      <c r="K47" s="49"/>
      <c r="L47" s="49"/>
      <c r="M47" s="49"/>
      <c r="N47" s="49"/>
      <c r="O47" s="49"/>
      <c r="P47" s="49"/>
      <c r="Q47" s="49"/>
      <c r="R47" s="49"/>
      <c r="S47" s="49"/>
    </row>
    <row r="48" spans="1:21" ht="53.5" customHeight="1" thickBot="1" x14ac:dyDescent="0.4">
      <c r="A48" s="145"/>
      <c r="B48" s="152"/>
      <c r="C48" s="152"/>
      <c r="D48" s="146"/>
      <c r="E48" s="146"/>
      <c r="F48" s="43"/>
      <c r="G48" s="43"/>
      <c r="H48" s="166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60"/>
    </row>
    <row r="49" spans="1:25" ht="15.75" customHeight="1" x14ac:dyDescent="0.35">
      <c r="W49" s="43"/>
      <c r="X49" s="43"/>
      <c r="Y49" s="43"/>
    </row>
    <row r="50" spans="1:25" ht="15.75" customHeight="1" x14ac:dyDescent="0.35">
      <c r="X50" s="43"/>
      <c r="Y50" s="43"/>
    </row>
    <row r="51" spans="1:25" ht="27" customHeight="1" x14ac:dyDescent="0.35">
      <c r="X51" s="43"/>
      <c r="Y51" s="43"/>
    </row>
    <row r="52" spans="1:25" ht="15.75" hidden="1" customHeight="1" x14ac:dyDescent="0.3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15.75" hidden="1" customHeight="1" x14ac:dyDescent="0.35">
      <c r="A53" s="43"/>
      <c r="B53" s="50" t="s">
        <v>227</v>
      </c>
      <c r="V53" s="50" t="s">
        <v>228</v>
      </c>
    </row>
    <row r="54" spans="1:25" ht="15.75" hidden="1" customHeight="1" x14ac:dyDescent="0.35">
      <c r="A54" s="43"/>
    </row>
    <row r="55" spans="1:25" ht="15.75" hidden="1" customHeight="1" x14ac:dyDescent="0.3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18.649999999999999" hidden="1" customHeight="1" x14ac:dyDescent="0.35">
      <c r="A56" s="43"/>
      <c r="B56" s="175" t="s">
        <v>215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15.75" hidden="1" customHeight="1" x14ac:dyDescent="0.35">
      <c r="A57" s="43"/>
      <c r="B57" s="49" t="s">
        <v>56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15.75" hidden="1" customHeight="1" x14ac:dyDescent="0.3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15.75" hidden="1" customHeight="1" x14ac:dyDescent="0.35">
      <c r="A59" s="43"/>
      <c r="B59" s="175" t="s">
        <v>216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15.75" hidden="1" customHeight="1" x14ac:dyDescent="0.35">
      <c r="A60" s="43"/>
      <c r="B60" s="49" t="s">
        <v>56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15.75" hidden="1" customHeight="1" x14ac:dyDescent="0.3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5.75" hidden="1" customHeight="1" x14ac:dyDescent="0.35">
      <c r="A62" s="43"/>
      <c r="B62" s="175" t="s">
        <v>221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5.75" hidden="1" customHeight="1" x14ac:dyDescent="0.35">
      <c r="A63" s="43"/>
      <c r="B63" s="49" t="s">
        <v>56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5.75" hidden="1" customHeight="1" x14ac:dyDescent="0.3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2:2" hidden="1" x14ac:dyDescent="0.35">
      <c r="B65" s="175" t="s">
        <v>226</v>
      </c>
    </row>
    <row r="66" spans="2:2" hidden="1" x14ac:dyDescent="0.35">
      <c r="B66" s="49" t="s">
        <v>56</v>
      </c>
    </row>
    <row r="67" spans="2:2" ht="15.75" hidden="1" customHeight="1" x14ac:dyDescent="0.35">
      <c r="B67" s="43"/>
    </row>
    <row r="68" spans="2:2" hidden="1" x14ac:dyDescent="0.35">
      <c r="B68" s="175" t="s">
        <v>223</v>
      </c>
    </row>
    <row r="69" spans="2:2" hidden="1" x14ac:dyDescent="0.35">
      <c r="B69" s="49" t="s">
        <v>56</v>
      </c>
    </row>
    <row r="70" spans="2:2" ht="15.75" hidden="1" customHeight="1" x14ac:dyDescent="0.35">
      <c r="B70" s="43"/>
    </row>
    <row r="71" spans="2:2" hidden="1" x14ac:dyDescent="0.35">
      <c r="B71" s="175" t="s">
        <v>229</v>
      </c>
    </row>
    <row r="72" spans="2:2" hidden="1" x14ac:dyDescent="0.35">
      <c r="B72" s="49" t="s">
        <v>56</v>
      </c>
    </row>
    <row r="73" spans="2:2" ht="15.75" hidden="1" customHeight="1" x14ac:dyDescent="0.35">
      <c r="B73" s="43"/>
    </row>
    <row r="74" spans="2:2" ht="15.75" customHeight="1" x14ac:dyDescent="0.35">
      <c r="B74" s="43"/>
    </row>
  </sheetData>
  <sheetProtection algorithmName="SHA-512" hashValue="SYWBHo5LwT9ctBl/To85jv4Mwu4LD36bkeyCWNQtr11m7U3pNpsDPA65QHOabpnGzQtubTybP6X6Ndm5Jdik2g==" saltValue="khW/+43Nryt6wdv9TKCRDg==" spinCount="100000" sheet="1" objects="1" scenarios="1" formatCells="0"/>
  <mergeCells count="47"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  <mergeCell ref="H30:U30"/>
    <mergeCell ref="H31:U31"/>
    <mergeCell ref="H32:U32"/>
    <mergeCell ref="H34:U34"/>
    <mergeCell ref="K36:L36"/>
    <mergeCell ref="S36:T36"/>
    <mergeCell ref="H25:N25"/>
    <mergeCell ref="P25:U25"/>
    <mergeCell ref="H27:N27"/>
    <mergeCell ref="P27:U27"/>
    <mergeCell ref="K29:L29"/>
    <mergeCell ref="S29:T29"/>
    <mergeCell ref="H22:N22"/>
    <mergeCell ref="P22:U22"/>
    <mergeCell ref="H23:N23"/>
    <mergeCell ref="P23:U23"/>
    <mergeCell ref="H24:N24"/>
    <mergeCell ref="P24:U24"/>
    <mergeCell ref="H16:U16"/>
    <mergeCell ref="H18:L18"/>
    <mergeCell ref="N18:P18"/>
    <mergeCell ref="R18:U18"/>
    <mergeCell ref="H20:L20"/>
    <mergeCell ref="N20:P20"/>
    <mergeCell ref="R20:U20"/>
    <mergeCell ref="C11:F12"/>
    <mergeCell ref="L11:U12"/>
    <mergeCell ref="H14:L14"/>
    <mergeCell ref="N14:P14"/>
    <mergeCell ref="R14:U14"/>
    <mergeCell ref="H15:U15"/>
    <mergeCell ref="A2:V2"/>
    <mergeCell ref="P3:V3"/>
    <mergeCell ref="T4:V4"/>
    <mergeCell ref="S6:U6"/>
    <mergeCell ref="F8:F9"/>
    <mergeCell ref="L8:U9"/>
  </mergeCells>
  <conditionalFormatting sqref="A8:E9">
    <cfRule type="expression" dxfId="45" priority="22">
      <formula>CELL("protect", INDIRECT(ADDRESS(ROW(), COLUMN())))=0</formula>
    </cfRule>
  </conditionalFormatting>
  <conditionalFormatting sqref="A22:H25 O22:P25">
    <cfRule type="expression" dxfId="44" priority="6">
      <formula>CELL("protect", INDIRECT(ADDRESS(ROW(), COLUMN())))=0</formula>
    </cfRule>
  </conditionalFormatting>
  <conditionalFormatting sqref="A27:H27 O27:P27">
    <cfRule type="expression" dxfId="43" priority="3">
      <formula>CELL("protect", INDIRECT(ADDRESS(ROW(), COLUMN())))=0</formula>
    </cfRule>
  </conditionalFormatting>
  <conditionalFormatting sqref="A8:L8">
    <cfRule type="expression" dxfId="42" priority="2">
      <formula>CELL("protect", INDIRECT(ADDRESS(ROW(), COLUMN())))=0</formula>
    </cfRule>
  </conditionalFormatting>
  <conditionalFormatting sqref="A20:O20">
    <cfRule type="expression" dxfId="41" priority="4">
      <formula>CELL("protect", INDIRECT(ADDRESS(ROW(), COLUMN())))=0</formula>
    </cfRule>
  </conditionalFormatting>
  <conditionalFormatting sqref="A3:P3 W3:XFD4 A4:T4 A5:XFD7 V8:XFD9 G9:K9 A11:C11 G11:K12 V11:XFD12 A12:B12 A13:XFD13 A14:N14 Q14:XFD14 A15:G17 V15:XFD17 A18:O18 Q18:XFD18 A19:XFD19 Q20:XFD20 A21:XFD21 V22:XFD25 V27:XFD27 W49:XFD49 X50:XFD51">
    <cfRule type="expression" dxfId="40" priority="23">
      <formula>CELL("protect", INDIRECT(ADDRESS(ROW(), COLUMN())))=0</formula>
    </cfRule>
  </conditionalFormatting>
  <conditionalFormatting sqref="A10:XFD10">
    <cfRule type="expression" dxfId="39" priority="21">
      <formula>CELL("protect", INDIRECT(ADDRESS(ROW(), COLUMN())))=0</formula>
    </cfRule>
  </conditionalFormatting>
  <conditionalFormatting sqref="A26:XFD26">
    <cfRule type="expression" dxfId="38" priority="14">
      <formula>CELL("protect", INDIRECT(ADDRESS(ROW(), COLUMN())))=0</formula>
    </cfRule>
  </conditionalFormatting>
  <conditionalFormatting sqref="A28:XFD48">
    <cfRule type="expression" dxfId="37" priority="5">
      <formula>CELL("protect", INDIRECT(ADDRESS(ROW(), COLUMN())))=0</formula>
    </cfRule>
  </conditionalFormatting>
  <conditionalFormatting sqref="B56:B57">
    <cfRule type="expression" dxfId="36" priority="20">
      <formula>CELL("protect", INDIRECT(ADDRESS(ROW(), COLUMN())))=0</formula>
    </cfRule>
  </conditionalFormatting>
  <conditionalFormatting sqref="B59:B60">
    <cfRule type="expression" dxfId="35" priority="19">
      <formula>CELL("protect", INDIRECT(ADDRESS(ROW(), COLUMN())))=0</formula>
    </cfRule>
  </conditionalFormatting>
  <conditionalFormatting sqref="B62:B63">
    <cfRule type="expression" dxfId="34" priority="18">
      <formula>CELL("protect", INDIRECT(ADDRESS(ROW(), COLUMN())))=0</formula>
    </cfRule>
  </conditionalFormatting>
  <conditionalFormatting sqref="B65:B66">
    <cfRule type="expression" dxfId="33" priority="17">
      <formula>CELL("protect", INDIRECT(ADDRESS(ROW(), COLUMN())))=0</formula>
    </cfRule>
  </conditionalFormatting>
  <conditionalFormatting sqref="B68:B69">
    <cfRule type="expression" dxfId="32" priority="9">
      <formula>CELL("protect", INDIRECT(ADDRESS(ROW(), COLUMN())))=0</formula>
    </cfRule>
  </conditionalFormatting>
  <conditionalFormatting sqref="B71:B72">
    <cfRule type="expression" dxfId="31" priority="8">
      <formula>CELL("protect", INDIRECT(ADDRESS(ROW(), COLUMN())))=0</formula>
    </cfRule>
  </conditionalFormatting>
  <conditionalFormatting sqref="H34">
    <cfRule type="expression" dxfId="30" priority="10">
      <formula>CELL("protect", INDIRECT(ADDRESS(ROW(), COLUMN())))=0</formula>
    </cfRule>
  </conditionalFormatting>
  <conditionalFormatting sqref="H41">
    <cfRule type="expression" dxfId="29" priority="12">
      <formula>CELL("protect", INDIRECT(ADDRESS(ROW(), COLUMN())))=0</formula>
    </cfRule>
  </conditionalFormatting>
  <conditionalFormatting sqref="H48">
    <cfRule type="expression" dxfId="28" priority="15">
      <formula>CELL("protect", INDIRECT(ADDRESS(ROW(), COLUMN())))=0</formula>
    </cfRule>
  </conditionalFormatting>
  <conditionalFormatting sqref="H33:S33">
    <cfRule type="expression" dxfId="27" priority="11">
      <formula>CELL("protect", INDIRECT(ADDRESS(ROW(), COLUMN())))=0</formula>
    </cfRule>
  </conditionalFormatting>
  <conditionalFormatting sqref="H40:S40">
    <cfRule type="expression" dxfId="26" priority="13">
      <formula>CELL("protect", INDIRECT(ADDRESS(ROW(), COLUMN())))=0</formula>
    </cfRule>
  </conditionalFormatting>
  <conditionalFormatting sqref="H47:S47">
    <cfRule type="expression" dxfId="25" priority="16">
      <formula>CELL("protect", INDIRECT(ADDRESS(ROW(), COLUMN())))=0</formula>
    </cfRule>
  </conditionalFormatting>
  <conditionalFormatting sqref="H15:U16">
    <cfRule type="expression" dxfId="24" priority="7">
      <formula>CELL("protect", INDIRECT(ADDRESS(ROW(), COLUMN())))=0</formula>
    </cfRule>
  </conditionalFormatting>
  <conditionalFormatting sqref="L11">
    <cfRule type="expression" dxfId="23" priority="1">
      <formula>CELL("protect", INDIRECT(ADDRESS(ROW(), COLUMN())))=0</formula>
    </cfRule>
  </conditionalFormatting>
  <dataValidations count="6">
    <dataValidation type="list" allowBlank="1" showInputMessage="1" showErrorMessage="1" sqref="H39:U39" xr:uid="{C8E45A8A-F8C3-4135-BA21-C6A3BF9F8042}">
      <formula1>$B$71:$B$72</formula1>
    </dataValidation>
    <dataValidation type="list" allowBlank="1" showInputMessage="1" showErrorMessage="1" sqref="H32:U32" xr:uid="{27F82874-2078-4261-8B07-4591411CE219}">
      <formula1>$B$68:$B$69</formula1>
    </dataValidation>
    <dataValidation type="list" allowBlank="1" showInputMessage="1" showErrorMessage="1" sqref="H46:U46" xr:uid="{9F67347C-3865-4175-8BA6-A578924B30BE}">
      <formula1>$B$65:$B$66</formula1>
    </dataValidation>
    <dataValidation type="list" allowBlank="1" showInputMessage="1" showErrorMessage="1" sqref="H25" xr:uid="{7C05EBBA-33B6-4F54-9214-E57D25E4F954}">
      <formula1>$B$62:$B$63</formula1>
    </dataValidation>
    <dataValidation type="list" allowBlank="1" showInputMessage="1" showErrorMessage="1" sqref="R18:U18 N18:O18" xr:uid="{D83B1E4B-9665-44B8-B84A-9DE68997E3A8}">
      <formula1>$B$59:$B$60</formula1>
    </dataValidation>
    <dataValidation type="list" allowBlank="1" showInputMessage="1" showErrorMessage="1" sqref="H18:L18 P25:U25" xr:uid="{43AD30C4-6F6F-4646-81EF-13667A6475AC}">
      <formula1>$B$56:$B$57</formula1>
    </dataValidation>
  </dataValidations>
  <printOptions horizontalCentered="1"/>
  <pageMargins left="0.43307086614173229" right="0.19685039370078741" top="0.74803149606299213" bottom="0.74803149606299213" header="0.31496062992125984" footer="0.31496062992125984"/>
  <pageSetup paperSize="9" scale="64" firstPageNumber="28" orientation="portrait" useFirstPageNumber="1" r:id="rId1"/>
  <headerFooter>
    <oddFooter>&amp;C
- Part 2-C&amp;P - (Rev.1)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487D-4788-4525-BB77-DC0D89BAAE0A}">
  <dimension ref="A1:AB74"/>
  <sheetViews>
    <sheetView showGridLines="0" view="pageBreakPreview" topLeftCell="A15" zoomScale="85" zoomScaleNormal="85" zoomScaleSheetLayoutView="85" workbookViewId="0">
      <selection activeCell="H46" sqref="H46:U46"/>
    </sheetView>
  </sheetViews>
  <sheetFormatPr defaultColWidth="8.90625" defaultRowHeight="14.5" x14ac:dyDescent="0.35"/>
  <cols>
    <col min="1" max="1" width="2.08984375" style="50" customWidth="1"/>
    <col min="2" max="4" width="8.90625" style="50"/>
    <col min="5" max="5" width="4.453125" style="50" customWidth="1"/>
    <col min="6" max="6" width="24.08984375" style="50" customWidth="1"/>
    <col min="7" max="7" width="4.453125" style="50" customWidth="1"/>
    <col min="8" max="8" width="2.90625" style="50" customWidth="1"/>
    <col min="9" max="10" width="1.08984375" style="50" customWidth="1"/>
    <col min="11" max="11" width="14" style="50" customWidth="1"/>
    <col min="12" max="12" width="3.453125" style="50" customWidth="1"/>
    <col min="13" max="13" width="1.08984375" style="50" customWidth="1"/>
    <col min="14" max="14" width="10" style="50" customWidth="1"/>
    <col min="15" max="15" width="1.08984375" style="50" customWidth="1"/>
    <col min="16" max="16" width="10" style="50" customWidth="1"/>
    <col min="17" max="17" width="1.08984375" style="50" customWidth="1"/>
    <col min="18" max="18" width="3" style="50" customWidth="1"/>
    <col min="19" max="19" width="2.08984375" style="50" customWidth="1"/>
    <col min="20" max="20" width="12.08984375" style="50" customWidth="1"/>
    <col min="21" max="21" width="4.08984375" style="50" customWidth="1"/>
    <col min="22" max="22" width="4" style="50" customWidth="1"/>
    <col min="23" max="16384" width="8.90625" style="50"/>
  </cols>
  <sheetData>
    <row r="1" spans="1:22" ht="6" customHeight="1" x14ac:dyDescent="0.3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 t="s">
        <v>202</v>
      </c>
      <c r="S1" s="43"/>
      <c r="T1" s="43"/>
      <c r="U1" s="43"/>
      <c r="V1" s="43"/>
    </row>
    <row r="2" spans="1:22" ht="23.15" customHeight="1" x14ac:dyDescent="0.35">
      <c r="A2" s="29" t="s">
        <v>203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</row>
    <row r="3" spans="1:22" ht="15" customHeight="1" x14ac:dyDescent="0.3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125" t="s">
        <v>204</v>
      </c>
      <c r="Q3" s="124"/>
      <c r="R3" s="124"/>
      <c r="S3" s="124"/>
      <c r="T3" s="124"/>
      <c r="U3" s="124"/>
      <c r="V3" s="124"/>
    </row>
    <row r="4" spans="1:22" ht="15" customHeight="1" x14ac:dyDescent="0.3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126" t="s">
        <v>205</v>
      </c>
      <c r="U4" s="124"/>
      <c r="V4" s="124"/>
    </row>
    <row r="5" spans="1:22" ht="15" customHeight="1" x14ac:dyDescent="0.3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127"/>
      <c r="U5" s="43"/>
      <c r="V5" s="43"/>
    </row>
    <row r="6" spans="1:22" ht="15.75" customHeight="1" x14ac:dyDescent="0.35">
      <c r="A6" s="128" t="s">
        <v>3</v>
      </c>
      <c r="B6" s="43"/>
      <c r="C6" s="43"/>
      <c r="D6" s="43"/>
      <c r="E6" s="43"/>
      <c r="F6" s="43"/>
      <c r="G6" s="43"/>
      <c r="H6" s="128"/>
      <c r="I6" s="43"/>
      <c r="J6" s="43"/>
      <c r="K6" s="43"/>
      <c r="L6" s="43"/>
      <c r="M6" s="43"/>
      <c r="N6" s="43"/>
      <c r="O6" s="43"/>
      <c r="P6" s="43"/>
      <c r="Q6" s="43"/>
      <c r="R6" s="43"/>
      <c r="S6" s="129"/>
      <c r="T6" s="124"/>
      <c r="U6" s="124"/>
      <c r="V6" s="43"/>
    </row>
    <row r="7" spans="1:22" ht="5.15" customHeight="1" thickBot="1" x14ac:dyDescent="0.4">
      <c r="A7" s="128"/>
      <c r="B7" s="43"/>
      <c r="C7" s="43"/>
      <c r="D7" s="43"/>
      <c r="E7" s="43"/>
      <c r="F7" s="43"/>
      <c r="G7" s="43"/>
      <c r="H7" s="128"/>
      <c r="I7" s="43"/>
      <c r="J7" s="43"/>
      <c r="K7" s="43"/>
      <c r="L7" s="43"/>
      <c r="M7" s="43"/>
      <c r="N7" s="43"/>
      <c r="O7" s="43"/>
      <c r="P7" s="43"/>
      <c r="Q7" s="43"/>
      <c r="R7" s="43"/>
      <c r="S7" s="130"/>
      <c r="T7" s="130"/>
      <c r="U7" s="130"/>
      <c r="V7" s="43"/>
    </row>
    <row r="8" spans="1:22" ht="15.65" customHeight="1" x14ac:dyDescent="0.35">
      <c r="A8" s="128" t="s">
        <v>4</v>
      </c>
      <c r="B8" s="43"/>
      <c r="C8" s="43"/>
      <c r="D8" s="43"/>
      <c r="E8" s="43"/>
      <c r="F8" s="131" t="s">
        <v>5</v>
      </c>
      <c r="G8" s="43"/>
      <c r="H8" s="128" t="s">
        <v>6</v>
      </c>
      <c r="I8" s="43"/>
      <c r="J8" s="43"/>
      <c r="K8" s="43"/>
      <c r="L8" s="132" t="s">
        <v>206</v>
      </c>
      <c r="M8" s="133"/>
      <c r="N8" s="133"/>
      <c r="O8" s="133"/>
      <c r="P8" s="133"/>
      <c r="Q8" s="133"/>
      <c r="R8" s="133"/>
      <c r="S8" s="133"/>
      <c r="T8" s="133"/>
      <c r="U8" s="134"/>
      <c r="V8" s="43"/>
    </row>
    <row r="9" spans="1:22" ht="16.5" customHeight="1" x14ac:dyDescent="0.35">
      <c r="A9" s="128"/>
      <c r="B9" s="43"/>
      <c r="C9" s="43"/>
      <c r="D9" s="43"/>
      <c r="E9" s="43"/>
      <c r="F9" s="135"/>
      <c r="G9" s="43"/>
      <c r="H9" s="128"/>
      <c r="I9" s="43"/>
      <c r="J9" s="43"/>
      <c r="K9" s="43"/>
      <c r="L9" s="136"/>
      <c r="M9" s="137"/>
      <c r="N9" s="137"/>
      <c r="O9" s="137"/>
      <c r="P9" s="137"/>
      <c r="Q9" s="137"/>
      <c r="R9" s="137"/>
      <c r="S9" s="137"/>
      <c r="T9" s="137"/>
      <c r="U9" s="138"/>
      <c r="V9" s="43"/>
    </row>
    <row r="10" spans="1:22" ht="5.15" customHeight="1" thickBot="1" x14ac:dyDescent="0.4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spans="1:22" ht="15.75" customHeight="1" x14ac:dyDescent="0.35">
      <c r="A11" s="128" t="s">
        <v>8</v>
      </c>
      <c r="B11" s="43"/>
      <c r="C11" s="132" t="s">
        <v>9</v>
      </c>
      <c r="D11" s="133"/>
      <c r="E11" s="133"/>
      <c r="F11" s="134"/>
      <c r="G11" s="43"/>
      <c r="H11" s="128" t="s">
        <v>10</v>
      </c>
      <c r="I11" s="43"/>
      <c r="J11" s="43"/>
      <c r="K11" s="43"/>
      <c r="L11" s="132" t="s">
        <v>230</v>
      </c>
      <c r="M11" s="133"/>
      <c r="N11" s="133"/>
      <c r="O11" s="133"/>
      <c r="P11" s="133"/>
      <c r="Q11" s="133"/>
      <c r="R11" s="133"/>
      <c r="S11" s="133"/>
      <c r="T11" s="133"/>
      <c r="U11" s="134"/>
      <c r="V11" s="43"/>
    </row>
    <row r="12" spans="1:22" ht="16.5" customHeight="1" x14ac:dyDescent="0.35">
      <c r="A12" s="128"/>
      <c r="B12" s="43"/>
      <c r="C12" s="136"/>
      <c r="D12" s="137"/>
      <c r="E12" s="137"/>
      <c r="F12" s="138"/>
      <c r="G12" s="43"/>
      <c r="H12" s="128"/>
      <c r="I12" s="43"/>
      <c r="J12" s="43"/>
      <c r="K12" s="43"/>
      <c r="L12" s="136"/>
      <c r="M12" s="137"/>
      <c r="N12" s="137"/>
      <c r="O12" s="137"/>
      <c r="P12" s="137"/>
      <c r="Q12" s="137"/>
      <c r="R12" s="137"/>
      <c r="S12" s="137"/>
      <c r="T12" s="137"/>
      <c r="U12" s="138"/>
      <c r="V12" s="43"/>
    </row>
    <row r="13" spans="1:22" ht="15.75" customHeight="1" x14ac:dyDescent="0.35">
      <c r="A13" s="128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spans="1:22" ht="39.65" customHeight="1" thickBot="1" x14ac:dyDescent="0.4">
      <c r="A14" s="145" t="s">
        <v>12</v>
      </c>
      <c r="B14" s="146" t="s">
        <v>208</v>
      </c>
      <c r="C14" s="146"/>
      <c r="D14" s="146"/>
      <c r="E14" s="146"/>
      <c r="F14" s="146"/>
      <c r="G14" s="146"/>
      <c r="H14" s="147" t="s">
        <v>209</v>
      </c>
      <c r="I14" s="124"/>
      <c r="J14" s="124"/>
      <c r="K14" s="124"/>
      <c r="L14" s="124"/>
      <c r="M14" s="148"/>
      <c r="N14" s="149" t="s">
        <v>210</v>
      </c>
      <c r="O14" s="150"/>
      <c r="P14" s="150"/>
      <c r="Q14" s="148"/>
      <c r="R14" s="151" t="s">
        <v>211</v>
      </c>
      <c r="S14" s="124"/>
      <c r="T14" s="124"/>
      <c r="U14" s="124"/>
      <c r="V14" s="43"/>
    </row>
    <row r="15" spans="1:22" ht="15" customHeight="1" thickBot="1" x14ac:dyDescent="0.4">
      <c r="A15" s="145"/>
      <c r="B15" s="152"/>
      <c r="C15" s="152" t="s">
        <v>212</v>
      </c>
      <c r="D15" s="146"/>
      <c r="E15" s="146"/>
      <c r="F15" s="43"/>
      <c r="G15" s="43"/>
      <c r="H15" s="176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60"/>
      <c r="V15" s="43"/>
    </row>
    <row r="16" spans="1:22" ht="16.5" customHeight="1" thickBot="1" x14ac:dyDescent="0.4">
      <c r="A16" s="145"/>
      <c r="B16" s="152"/>
      <c r="C16" s="152" t="s">
        <v>213</v>
      </c>
      <c r="D16" s="146"/>
      <c r="E16" s="146"/>
      <c r="F16" s="43"/>
      <c r="G16" s="43"/>
      <c r="H16" s="176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60"/>
      <c r="V16" s="43"/>
    </row>
    <row r="17" spans="1:28" ht="3.65" customHeight="1" thickBot="1" x14ac:dyDescent="0.4">
      <c r="A17" s="145"/>
      <c r="B17" s="152"/>
      <c r="C17" s="152"/>
      <c r="D17" s="146"/>
      <c r="E17" s="146"/>
      <c r="F17" s="43"/>
      <c r="G17" s="43"/>
      <c r="V17" s="43"/>
      <c r="W17" s="43"/>
      <c r="X17" s="43"/>
      <c r="Y17" s="43"/>
      <c r="Z17" s="43"/>
      <c r="AA17" s="43"/>
      <c r="AB17" s="43"/>
    </row>
    <row r="18" spans="1:28" ht="47.5" customHeight="1" thickBot="1" x14ac:dyDescent="0.4">
      <c r="A18" s="145"/>
      <c r="B18" s="152"/>
      <c r="C18" s="152" t="s">
        <v>214</v>
      </c>
      <c r="D18" s="146"/>
      <c r="E18" s="146"/>
      <c r="F18" s="146"/>
      <c r="G18" s="146"/>
      <c r="H18" s="156"/>
      <c r="I18" s="157"/>
      <c r="J18" s="157"/>
      <c r="K18" s="157"/>
      <c r="L18" s="158"/>
      <c r="M18" s="145"/>
      <c r="N18" s="159"/>
      <c r="O18" s="157"/>
      <c r="P18" s="160"/>
      <c r="Q18" s="145"/>
      <c r="R18" s="156"/>
      <c r="S18" s="157"/>
      <c r="T18" s="157"/>
      <c r="U18" s="158"/>
      <c r="V18" s="43"/>
      <c r="W18" s="43"/>
      <c r="X18" s="43"/>
      <c r="Y18" s="43"/>
      <c r="Z18" s="43"/>
      <c r="AA18" s="43"/>
      <c r="AB18" s="43"/>
    </row>
    <row r="19" spans="1:28" ht="15" customHeight="1" thickBot="1" x14ac:dyDescent="0.4">
      <c r="A19" s="145"/>
      <c r="B19" s="152"/>
      <c r="C19" s="152"/>
      <c r="D19" s="146"/>
      <c r="E19" s="146"/>
      <c r="F19" s="146"/>
      <c r="G19" s="146"/>
      <c r="H19" s="161" t="s">
        <v>25</v>
      </c>
      <c r="I19" s="162"/>
      <c r="V19" s="43"/>
      <c r="W19" s="43"/>
      <c r="X19" s="43"/>
      <c r="Y19" s="43"/>
      <c r="Z19" s="43"/>
      <c r="AA19" s="43"/>
      <c r="AB19" s="43"/>
    </row>
    <row r="20" spans="1:28" ht="53.5" customHeight="1" thickBot="1" x14ac:dyDescent="0.4">
      <c r="A20" s="145"/>
      <c r="B20" s="152"/>
      <c r="C20" s="152"/>
      <c r="D20" s="146"/>
      <c r="E20" s="146"/>
      <c r="F20" s="146"/>
      <c r="G20" s="146"/>
      <c r="H20" s="163"/>
      <c r="I20" s="164"/>
      <c r="J20" s="164"/>
      <c r="K20" s="164"/>
      <c r="L20" s="165"/>
      <c r="M20" s="145"/>
      <c r="N20" s="159"/>
      <c r="O20" s="157"/>
      <c r="P20" s="160"/>
      <c r="Q20" s="146"/>
      <c r="R20" s="166"/>
      <c r="S20" s="157"/>
      <c r="T20" s="157"/>
      <c r="U20" s="160"/>
      <c r="V20" s="43"/>
      <c r="W20" s="43"/>
      <c r="X20" s="43"/>
      <c r="Y20" s="43"/>
      <c r="Z20" s="43"/>
      <c r="AA20" s="43"/>
      <c r="AB20" s="167"/>
    </row>
    <row r="21" spans="1:28" ht="6" customHeight="1" x14ac:dyDescent="0.35">
      <c r="A21" s="145"/>
      <c r="B21" s="152"/>
      <c r="C21" s="152"/>
      <c r="D21" s="146"/>
      <c r="E21" s="146"/>
      <c r="F21" s="43"/>
      <c r="G21" s="43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43"/>
      <c r="W21" s="43"/>
      <c r="X21" s="43"/>
      <c r="Y21" s="43"/>
      <c r="Z21" s="43"/>
      <c r="AA21" s="43"/>
      <c r="AB21" s="43"/>
    </row>
    <row r="22" spans="1:28" ht="22.4" customHeight="1" thickBot="1" x14ac:dyDescent="0.4">
      <c r="A22" s="145" t="s">
        <v>19</v>
      </c>
      <c r="B22" s="146" t="s">
        <v>217</v>
      </c>
      <c r="C22" s="146"/>
      <c r="D22" s="146"/>
      <c r="E22" s="146"/>
      <c r="F22" s="43"/>
      <c r="G22" s="43"/>
      <c r="H22" s="149" t="s">
        <v>218</v>
      </c>
      <c r="I22" s="150"/>
      <c r="J22" s="150"/>
      <c r="K22" s="150"/>
      <c r="L22" s="150"/>
      <c r="M22" s="150"/>
      <c r="N22" s="150"/>
      <c r="O22" s="168"/>
      <c r="P22" s="149" t="s">
        <v>219</v>
      </c>
      <c r="Q22" s="150"/>
      <c r="R22" s="150"/>
      <c r="S22" s="150"/>
      <c r="T22" s="150"/>
      <c r="U22" s="150"/>
      <c r="V22" s="43"/>
      <c r="W22" s="43"/>
      <c r="X22" s="43"/>
      <c r="Y22" s="43"/>
      <c r="Z22" s="43"/>
      <c r="AA22" s="43"/>
      <c r="AB22" s="43"/>
    </row>
    <row r="23" spans="1:28" ht="16.5" customHeight="1" thickBot="1" x14ac:dyDescent="0.4">
      <c r="A23" s="145"/>
      <c r="B23" s="152"/>
      <c r="C23" s="152" t="s">
        <v>212</v>
      </c>
      <c r="D23" s="146"/>
      <c r="E23" s="146"/>
      <c r="F23" s="43"/>
      <c r="G23" s="43"/>
      <c r="H23" s="153"/>
      <c r="I23" s="157"/>
      <c r="J23" s="157"/>
      <c r="K23" s="157"/>
      <c r="L23" s="157"/>
      <c r="M23" s="157"/>
      <c r="N23" s="160"/>
      <c r="O23" s="43"/>
      <c r="P23" s="153"/>
      <c r="Q23" s="157"/>
      <c r="R23" s="157"/>
      <c r="S23" s="157"/>
      <c r="T23" s="157"/>
      <c r="U23" s="160"/>
      <c r="V23" s="43"/>
      <c r="W23" s="43"/>
      <c r="X23" s="43"/>
      <c r="Y23" s="43"/>
      <c r="Z23" s="43"/>
      <c r="AA23" s="43"/>
      <c r="AB23" s="43"/>
    </row>
    <row r="24" spans="1:28" ht="16.5" customHeight="1" thickBot="1" x14ac:dyDescent="0.4">
      <c r="A24" s="145"/>
      <c r="B24" s="152"/>
      <c r="C24" s="152" t="s">
        <v>213</v>
      </c>
      <c r="D24" s="146"/>
      <c r="E24" s="146"/>
      <c r="F24" s="43"/>
      <c r="G24" s="43"/>
      <c r="H24" s="153"/>
      <c r="I24" s="157"/>
      <c r="J24" s="157"/>
      <c r="K24" s="157"/>
      <c r="L24" s="157"/>
      <c r="M24" s="157"/>
      <c r="N24" s="160"/>
      <c r="O24" s="43"/>
      <c r="P24" s="153"/>
      <c r="Q24" s="157"/>
      <c r="R24" s="157"/>
      <c r="S24" s="157"/>
      <c r="T24" s="157"/>
      <c r="U24" s="160"/>
      <c r="V24" s="43"/>
      <c r="W24" s="43"/>
      <c r="X24" s="43"/>
      <c r="Y24" s="43"/>
      <c r="Z24" s="43"/>
      <c r="AA24" s="43"/>
      <c r="AB24" s="43"/>
    </row>
    <row r="25" spans="1:28" ht="35.15" customHeight="1" thickBot="1" x14ac:dyDescent="0.4">
      <c r="A25" s="145"/>
      <c r="B25" s="152"/>
      <c r="C25" s="152" t="s">
        <v>214</v>
      </c>
      <c r="D25" s="146"/>
      <c r="E25" s="146"/>
      <c r="F25" s="43"/>
      <c r="G25" s="43"/>
      <c r="H25" s="159"/>
      <c r="I25" s="157"/>
      <c r="J25" s="157"/>
      <c r="K25" s="157"/>
      <c r="L25" s="157"/>
      <c r="M25" s="157"/>
      <c r="N25" s="160"/>
      <c r="O25" s="130"/>
      <c r="P25" s="159"/>
      <c r="Q25" s="157"/>
      <c r="R25" s="157"/>
      <c r="S25" s="157"/>
      <c r="T25" s="157"/>
      <c r="U25" s="160"/>
      <c r="V25" s="43"/>
      <c r="W25" s="43"/>
      <c r="X25" s="43"/>
      <c r="Y25" s="43"/>
      <c r="Z25" s="43"/>
      <c r="AA25" s="43"/>
      <c r="AB25" s="43"/>
    </row>
    <row r="26" spans="1:28" ht="16.5" customHeight="1" thickBot="1" x14ac:dyDescent="0.4">
      <c r="A26" s="145"/>
      <c r="B26" s="152"/>
      <c r="C26" s="152"/>
      <c r="D26" s="146"/>
      <c r="E26" s="146"/>
      <c r="F26" s="43"/>
      <c r="G26" s="43"/>
      <c r="H26" s="30" t="s">
        <v>25</v>
      </c>
      <c r="V26" s="43"/>
      <c r="W26" s="43"/>
      <c r="X26" s="43"/>
      <c r="Y26" s="43"/>
      <c r="Z26" s="43"/>
      <c r="AA26" s="43"/>
      <c r="AB26" s="43"/>
    </row>
    <row r="27" spans="1:28" ht="41.5" customHeight="1" thickBot="1" x14ac:dyDescent="0.4">
      <c r="A27" s="145"/>
      <c r="B27" s="152"/>
      <c r="C27" s="152"/>
      <c r="D27" s="146"/>
      <c r="E27" s="146"/>
      <c r="F27" s="43"/>
      <c r="G27" s="43"/>
      <c r="H27" s="169"/>
      <c r="I27" s="157"/>
      <c r="J27" s="157"/>
      <c r="K27" s="157"/>
      <c r="L27" s="157"/>
      <c r="M27" s="157"/>
      <c r="N27" s="160"/>
      <c r="O27" s="43"/>
      <c r="P27" s="170"/>
      <c r="Q27" s="157"/>
      <c r="R27" s="157"/>
      <c r="S27" s="157"/>
      <c r="T27" s="157"/>
      <c r="U27" s="160"/>
      <c r="V27" s="43"/>
      <c r="W27" s="43"/>
      <c r="X27" s="43"/>
      <c r="Y27" s="43"/>
      <c r="Z27" s="43"/>
      <c r="AA27" s="43"/>
      <c r="AB27" s="43"/>
    </row>
    <row r="28" spans="1:28" ht="6" customHeight="1" x14ac:dyDescent="0.35">
      <c r="A28" s="145"/>
      <c r="B28" s="152"/>
      <c r="C28" s="152"/>
      <c r="D28" s="146"/>
      <c r="E28" s="146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130"/>
      <c r="V28" s="43"/>
      <c r="W28" s="43"/>
      <c r="X28" s="43"/>
      <c r="Y28" s="43"/>
      <c r="Z28" s="43"/>
      <c r="AA28" s="43"/>
      <c r="AB28" s="43"/>
    </row>
    <row r="29" spans="1:28" ht="14.5" customHeight="1" thickBot="1" x14ac:dyDescent="0.4">
      <c r="A29" s="145" t="s">
        <v>22</v>
      </c>
      <c r="B29" s="146" t="s">
        <v>222</v>
      </c>
      <c r="C29" s="146"/>
      <c r="D29" s="146"/>
      <c r="E29" s="146"/>
      <c r="F29" s="43"/>
      <c r="G29" s="43"/>
      <c r="H29" s="43"/>
      <c r="I29" s="43"/>
      <c r="J29" s="43"/>
      <c r="K29" s="129"/>
      <c r="L29" s="124"/>
      <c r="M29" s="130"/>
      <c r="N29" s="130"/>
      <c r="O29" s="130"/>
      <c r="P29" s="130"/>
      <c r="Q29" s="130"/>
      <c r="R29" s="43"/>
      <c r="S29" s="129"/>
      <c r="T29" s="124"/>
      <c r="U29" s="43"/>
      <c r="V29" s="43"/>
      <c r="W29" s="43"/>
      <c r="X29" s="43"/>
      <c r="Y29" s="43"/>
      <c r="Z29" s="43"/>
      <c r="AA29" s="43"/>
      <c r="AB29" s="43"/>
    </row>
    <row r="30" spans="1:28" ht="15" customHeight="1" thickBot="1" x14ac:dyDescent="0.4">
      <c r="A30" s="145"/>
      <c r="B30" s="152"/>
      <c r="C30" s="152" t="s">
        <v>212</v>
      </c>
      <c r="D30" s="146"/>
      <c r="E30" s="146"/>
      <c r="F30" s="43"/>
      <c r="G30" s="43"/>
      <c r="H30" s="176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60"/>
      <c r="V30" s="43"/>
      <c r="W30" s="43"/>
      <c r="X30" s="43"/>
      <c r="Y30" s="43"/>
      <c r="Z30" s="43"/>
      <c r="AA30" s="43"/>
      <c r="AB30" s="43"/>
    </row>
    <row r="31" spans="1:28" ht="16.5" customHeight="1" thickBot="1" x14ac:dyDescent="0.4">
      <c r="A31" s="145"/>
      <c r="B31" s="152"/>
      <c r="C31" s="152" t="s">
        <v>213</v>
      </c>
      <c r="D31" s="146"/>
      <c r="E31" s="146"/>
      <c r="F31" s="43"/>
      <c r="G31" s="43"/>
      <c r="H31" s="176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60"/>
      <c r="V31" s="43"/>
      <c r="W31" s="43"/>
      <c r="X31" s="43"/>
      <c r="Y31" s="43"/>
      <c r="Z31" s="43"/>
      <c r="AA31" s="43"/>
      <c r="AB31" s="43"/>
    </row>
    <row r="32" spans="1:28" ht="18.649999999999999" customHeight="1" thickBot="1" x14ac:dyDescent="0.4">
      <c r="A32" s="145"/>
      <c r="B32" s="152"/>
      <c r="C32" s="152" t="s">
        <v>214</v>
      </c>
      <c r="D32" s="171"/>
      <c r="E32" s="171"/>
      <c r="F32" s="171"/>
      <c r="G32" s="171"/>
      <c r="H32" s="172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8"/>
      <c r="V32" s="43"/>
      <c r="W32" s="43"/>
      <c r="X32" s="43"/>
      <c r="Y32" s="43"/>
      <c r="Z32" s="43"/>
      <c r="AA32" s="43"/>
      <c r="AB32" s="43"/>
    </row>
    <row r="33" spans="1:21" ht="16.5" customHeight="1" thickBot="1" x14ac:dyDescent="0.4">
      <c r="A33" s="145"/>
      <c r="B33" s="152"/>
      <c r="C33" s="152"/>
      <c r="D33" s="146"/>
      <c r="E33" s="146"/>
      <c r="F33" s="43"/>
      <c r="G33" s="43"/>
      <c r="H33" s="30" t="s">
        <v>25</v>
      </c>
      <c r="I33" s="30"/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spans="1:21" ht="53.5" customHeight="1" thickBot="1" x14ac:dyDescent="0.4">
      <c r="A34" s="145"/>
      <c r="B34" s="152"/>
      <c r="C34" s="152"/>
      <c r="D34" s="146"/>
      <c r="E34" s="146"/>
      <c r="F34" s="43"/>
      <c r="G34" s="43"/>
      <c r="H34" s="166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60"/>
    </row>
    <row r="35" spans="1:21" ht="6" customHeight="1" x14ac:dyDescent="0.35">
      <c r="A35" s="145"/>
      <c r="B35" s="152"/>
      <c r="C35" s="152"/>
      <c r="D35" s="146"/>
      <c r="E35" s="146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130"/>
    </row>
    <row r="36" spans="1:21" ht="14.5" customHeight="1" thickBot="1" x14ac:dyDescent="0.4">
      <c r="A36" s="145" t="s">
        <v>26</v>
      </c>
      <c r="B36" s="146" t="s">
        <v>224</v>
      </c>
      <c r="C36" s="146"/>
      <c r="D36" s="146"/>
      <c r="E36" s="146"/>
      <c r="F36" s="43"/>
      <c r="G36" s="43"/>
      <c r="H36" s="43"/>
      <c r="I36" s="43"/>
      <c r="J36" s="43"/>
      <c r="K36" s="129"/>
      <c r="L36" s="124"/>
      <c r="M36" s="130"/>
      <c r="N36" s="130"/>
      <c r="O36" s="130"/>
      <c r="P36" s="130"/>
      <c r="Q36" s="130"/>
      <c r="R36" s="43"/>
      <c r="S36" s="129"/>
      <c r="T36" s="124"/>
      <c r="U36" s="43"/>
    </row>
    <row r="37" spans="1:21" ht="15" customHeight="1" thickBot="1" x14ac:dyDescent="0.4">
      <c r="A37" s="145"/>
      <c r="B37" s="152"/>
      <c r="C37" s="152" t="s">
        <v>212</v>
      </c>
      <c r="D37" s="146"/>
      <c r="E37" s="146"/>
      <c r="F37" s="43"/>
      <c r="G37" s="43"/>
      <c r="H37" s="174" t="s">
        <v>231</v>
      </c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8"/>
    </row>
    <row r="38" spans="1:21" ht="16.5" customHeight="1" thickBot="1" x14ac:dyDescent="0.4">
      <c r="A38" s="145"/>
      <c r="B38" s="152"/>
      <c r="C38" s="152" t="s">
        <v>213</v>
      </c>
      <c r="D38" s="146"/>
      <c r="E38" s="146"/>
      <c r="F38" s="43"/>
      <c r="G38" s="43"/>
      <c r="H38" s="174" t="s">
        <v>144</v>
      </c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8"/>
    </row>
    <row r="39" spans="1:21" ht="19.399999999999999" customHeight="1" thickBot="1" x14ac:dyDescent="0.4">
      <c r="A39" s="145"/>
      <c r="B39" s="152"/>
      <c r="C39" s="152" t="s">
        <v>214</v>
      </c>
      <c r="D39" s="171"/>
      <c r="E39" s="171"/>
      <c r="F39" s="171"/>
      <c r="G39" s="171"/>
      <c r="H39" s="156" t="s">
        <v>229</v>
      </c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8"/>
    </row>
    <row r="40" spans="1:21" ht="16.5" customHeight="1" thickBot="1" x14ac:dyDescent="0.4">
      <c r="A40" s="145"/>
      <c r="B40" s="152"/>
      <c r="C40" s="152"/>
      <c r="D40" s="146"/>
      <c r="E40" s="146"/>
      <c r="F40" s="43"/>
      <c r="G40" s="43"/>
      <c r="H40" s="30" t="s">
        <v>25</v>
      </c>
      <c r="I40" s="30"/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 spans="1:21" ht="53.5" customHeight="1" thickBot="1" x14ac:dyDescent="0.4">
      <c r="A41" s="145"/>
      <c r="B41" s="152"/>
      <c r="C41" s="152"/>
      <c r="D41" s="146"/>
      <c r="E41" s="146"/>
      <c r="F41" s="43"/>
      <c r="G41" s="43"/>
      <c r="H41" s="166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60"/>
    </row>
    <row r="42" spans="1:21" ht="6" customHeight="1" x14ac:dyDescent="0.35">
      <c r="A42" s="145"/>
      <c r="B42" s="152"/>
      <c r="C42" s="152"/>
      <c r="D42" s="146"/>
      <c r="E42" s="146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130"/>
    </row>
    <row r="43" spans="1:21" ht="14.5" customHeight="1" thickBot="1" x14ac:dyDescent="0.4">
      <c r="A43" s="145" t="s">
        <v>29</v>
      </c>
      <c r="B43" s="146" t="s">
        <v>225</v>
      </c>
      <c r="C43" s="146"/>
      <c r="D43" s="146"/>
      <c r="E43" s="146"/>
      <c r="F43" s="43"/>
      <c r="G43" s="43"/>
      <c r="H43" s="43"/>
      <c r="I43" s="43"/>
      <c r="J43" s="43"/>
      <c r="K43" s="129"/>
      <c r="L43" s="124"/>
      <c r="M43" s="130"/>
      <c r="N43" s="130"/>
      <c r="O43" s="130"/>
      <c r="P43" s="130"/>
      <c r="Q43" s="130"/>
      <c r="R43" s="43"/>
      <c r="S43" s="129"/>
      <c r="T43" s="124"/>
      <c r="U43" s="43"/>
    </row>
    <row r="44" spans="1:21" ht="15" customHeight="1" thickBot="1" x14ac:dyDescent="0.4">
      <c r="A44" s="145"/>
      <c r="B44" s="152"/>
      <c r="C44" s="152" t="s">
        <v>212</v>
      </c>
      <c r="D44" s="146"/>
      <c r="E44" s="146"/>
      <c r="F44" s="43"/>
      <c r="G44" s="43"/>
      <c r="H44" s="174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8"/>
    </row>
    <row r="45" spans="1:21" ht="16.5" customHeight="1" thickBot="1" x14ac:dyDescent="0.4">
      <c r="A45" s="145"/>
      <c r="B45" s="152"/>
      <c r="C45" s="152" t="s">
        <v>213</v>
      </c>
      <c r="D45" s="146"/>
      <c r="E45" s="146"/>
      <c r="F45" s="43"/>
      <c r="G45" s="43"/>
      <c r="H45" s="174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8"/>
    </row>
    <row r="46" spans="1:21" ht="19.399999999999999" customHeight="1" thickBot="1" x14ac:dyDescent="0.4">
      <c r="A46" s="145"/>
      <c r="B46" s="152"/>
      <c r="C46" s="152" t="s">
        <v>214</v>
      </c>
      <c r="D46" s="171"/>
      <c r="E46" s="171"/>
      <c r="F46" s="171"/>
      <c r="G46" s="171"/>
      <c r="H46" s="172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8"/>
    </row>
    <row r="47" spans="1:21" ht="16.5" customHeight="1" thickBot="1" x14ac:dyDescent="0.4">
      <c r="A47" s="145"/>
      <c r="B47" s="152"/>
      <c r="C47" s="152"/>
      <c r="D47" s="146"/>
      <c r="E47" s="146"/>
      <c r="F47" s="43"/>
      <c r="G47" s="43"/>
      <c r="H47" s="30" t="s">
        <v>25</v>
      </c>
      <c r="I47" s="30"/>
      <c r="J47" s="49"/>
      <c r="K47" s="49"/>
      <c r="L47" s="49"/>
      <c r="M47" s="49"/>
      <c r="N47" s="49"/>
      <c r="O47" s="49"/>
      <c r="P47" s="49"/>
      <c r="Q47" s="49"/>
      <c r="R47" s="49"/>
      <c r="S47" s="49"/>
    </row>
    <row r="48" spans="1:21" ht="53.5" customHeight="1" thickBot="1" x14ac:dyDescent="0.4">
      <c r="A48" s="145"/>
      <c r="B48" s="152"/>
      <c r="C48" s="152"/>
      <c r="D48" s="146"/>
      <c r="E48" s="146"/>
      <c r="F48" s="43"/>
      <c r="G48" s="43"/>
      <c r="H48" s="166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60"/>
    </row>
    <row r="49" spans="1:25" ht="15.75" customHeight="1" x14ac:dyDescent="0.35">
      <c r="W49" s="43"/>
      <c r="X49" s="43"/>
      <c r="Y49" s="43"/>
    </row>
    <row r="50" spans="1:25" ht="15.75" customHeight="1" x14ac:dyDescent="0.35">
      <c r="X50" s="43"/>
      <c r="Y50" s="43"/>
    </row>
    <row r="51" spans="1:25" ht="27" customHeight="1" x14ac:dyDescent="0.35">
      <c r="X51" s="43"/>
      <c r="Y51" s="43"/>
    </row>
    <row r="52" spans="1:25" ht="15.75" hidden="1" customHeight="1" x14ac:dyDescent="0.3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15.75" hidden="1" customHeight="1" x14ac:dyDescent="0.35">
      <c r="A53" s="43"/>
      <c r="B53" s="50" t="s">
        <v>227</v>
      </c>
      <c r="V53" s="50" t="s">
        <v>228</v>
      </c>
    </row>
    <row r="54" spans="1:25" ht="15.75" hidden="1" customHeight="1" x14ac:dyDescent="0.35">
      <c r="A54" s="43"/>
    </row>
    <row r="55" spans="1:25" ht="15.75" hidden="1" customHeight="1" x14ac:dyDescent="0.3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18.649999999999999" hidden="1" customHeight="1" x14ac:dyDescent="0.35">
      <c r="A56" s="43"/>
      <c r="B56" s="175" t="s">
        <v>215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15.75" hidden="1" customHeight="1" x14ac:dyDescent="0.35">
      <c r="A57" s="43"/>
      <c r="B57" s="49" t="s">
        <v>56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15.75" hidden="1" customHeight="1" x14ac:dyDescent="0.3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15.75" hidden="1" customHeight="1" x14ac:dyDescent="0.35">
      <c r="A59" s="43"/>
      <c r="B59" s="175" t="s">
        <v>216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15.75" hidden="1" customHeight="1" x14ac:dyDescent="0.35">
      <c r="A60" s="43"/>
      <c r="B60" s="49" t="s">
        <v>56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15.75" hidden="1" customHeight="1" x14ac:dyDescent="0.3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5.75" hidden="1" customHeight="1" x14ac:dyDescent="0.35">
      <c r="A62" s="43"/>
      <c r="B62" s="175" t="s">
        <v>221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5.75" hidden="1" customHeight="1" x14ac:dyDescent="0.35">
      <c r="A63" s="43"/>
      <c r="B63" s="49" t="s">
        <v>56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5.75" hidden="1" customHeight="1" x14ac:dyDescent="0.3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2:2" hidden="1" x14ac:dyDescent="0.35">
      <c r="B65" s="175" t="s">
        <v>226</v>
      </c>
    </row>
    <row r="66" spans="2:2" hidden="1" x14ac:dyDescent="0.35">
      <c r="B66" s="49" t="s">
        <v>56</v>
      </c>
    </row>
    <row r="67" spans="2:2" ht="15.75" hidden="1" customHeight="1" x14ac:dyDescent="0.35">
      <c r="B67" s="43"/>
    </row>
    <row r="68" spans="2:2" hidden="1" x14ac:dyDescent="0.35">
      <c r="B68" s="175" t="s">
        <v>223</v>
      </c>
    </row>
    <row r="69" spans="2:2" hidden="1" x14ac:dyDescent="0.35">
      <c r="B69" s="49" t="s">
        <v>56</v>
      </c>
    </row>
    <row r="70" spans="2:2" ht="15.75" hidden="1" customHeight="1" x14ac:dyDescent="0.35">
      <c r="B70" s="43"/>
    </row>
    <row r="71" spans="2:2" hidden="1" x14ac:dyDescent="0.35">
      <c r="B71" s="175" t="s">
        <v>229</v>
      </c>
    </row>
    <row r="72" spans="2:2" hidden="1" x14ac:dyDescent="0.35">
      <c r="B72" s="49" t="s">
        <v>56</v>
      </c>
    </row>
    <row r="73" spans="2:2" ht="15.75" hidden="1" customHeight="1" x14ac:dyDescent="0.35">
      <c r="B73" s="43"/>
    </row>
    <row r="74" spans="2:2" ht="15.75" customHeight="1" x14ac:dyDescent="0.35">
      <c r="B74" s="43"/>
    </row>
  </sheetData>
  <sheetProtection algorithmName="SHA-512" hashValue="SYWBHo5LwT9ctBl/To85jv4Mwu4LD36bkeyCWNQtr11m7U3pNpsDPA65QHOabpnGzQtubTybP6X6Ndm5Jdik2g==" saltValue="khW/+43Nryt6wdv9TKCRDg==" spinCount="100000" sheet="1" objects="1" scenarios="1" formatCells="0"/>
  <mergeCells count="47"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  <mergeCell ref="H30:U30"/>
    <mergeCell ref="H31:U31"/>
    <mergeCell ref="H32:U32"/>
    <mergeCell ref="H34:U34"/>
    <mergeCell ref="K36:L36"/>
    <mergeCell ref="S36:T36"/>
    <mergeCell ref="H25:N25"/>
    <mergeCell ref="P25:U25"/>
    <mergeCell ref="H27:N27"/>
    <mergeCell ref="P27:U27"/>
    <mergeCell ref="K29:L29"/>
    <mergeCell ref="S29:T29"/>
    <mergeCell ref="H22:N22"/>
    <mergeCell ref="P22:U22"/>
    <mergeCell ref="H23:N23"/>
    <mergeCell ref="P23:U23"/>
    <mergeCell ref="H24:N24"/>
    <mergeCell ref="P24:U24"/>
    <mergeCell ref="H16:U16"/>
    <mergeCell ref="H18:L18"/>
    <mergeCell ref="N18:P18"/>
    <mergeCell ref="R18:U18"/>
    <mergeCell ref="H20:L20"/>
    <mergeCell ref="N20:P20"/>
    <mergeCell ref="R20:U20"/>
    <mergeCell ref="C11:F12"/>
    <mergeCell ref="L11:U12"/>
    <mergeCell ref="H14:L14"/>
    <mergeCell ref="N14:P14"/>
    <mergeCell ref="R14:U14"/>
    <mergeCell ref="H15:U15"/>
    <mergeCell ref="A2:V2"/>
    <mergeCell ref="P3:V3"/>
    <mergeCell ref="T4:V4"/>
    <mergeCell ref="S6:U6"/>
    <mergeCell ref="F8:F9"/>
    <mergeCell ref="L8:U9"/>
  </mergeCells>
  <conditionalFormatting sqref="A8:E9">
    <cfRule type="expression" dxfId="22" priority="22">
      <formula>CELL("protect", INDIRECT(ADDRESS(ROW(), COLUMN())))=0</formula>
    </cfRule>
  </conditionalFormatting>
  <conditionalFormatting sqref="A22:H25 O22:P25">
    <cfRule type="expression" dxfId="21" priority="6">
      <formula>CELL("protect", INDIRECT(ADDRESS(ROW(), COLUMN())))=0</formula>
    </cfRule>
  </conditionalFormatting>
  <conditionalFormatting sqref="A27:H27 O27:P27">
    <cfRule type="expression" dxfId="20" priority="3">
      <formula>CELL("protect", INDIRECT(ADDRESS(ROW(), COLUMN())))=0</formula>
    </cfRule>
  </conditionalFormatting>
  <conditionalFormatting sqref="A8:L8">
    <cfRule type="expression" dxfId="19" priority="2">
      <formula>CELL("protect", INDIRECT(ADDRESS(ROW(), COLUMN())))=0</formula>
    </cfRule>
  </conditionalFormatting>
  <conditionalFormatting sqref="A20:O20">
    <cfRule type="expression" dxfId="18" priority="4">
      <formula>CELL("protect", INDIRECT(ADDRESS(ROW(), COLUMN())))=0</formula>
    </cfRule>
  </conditionalFormatting>
  <conditionalFormatting sqref="A3:P3 W3:XFD4 A4:T4 A5:XFD7 V8:XFD9 G9:K9 A11:C11 G11:K12 V11:XFD12 A12:B12 A13:XFD13 A14:N14 Q14:XFD14 A15:G17 V15:XFD17 A18:O18 Q18:XFD18 A19:XFD19 Q20:XFD20 A21:XFD21 V22:XFD25 V27:XFD27 W49:XFD49 X50:XFD51">
    <cfRule type="expression" dxfId="17" priority="23">
      <formula>CELL("protect", INDIRECT(ADDRESS(ROW(), COLUMN())))=0</formula>
    </cfRule>
  </conditionalFormatting>
  <conditionalFormatting sqref="A10:XFD10">
    <cfRule type="expression" dxfId="16" priority="21">
      <formula>CELL("protect", INDIRECT(ADDRESS(ROW(), COLUMN())))=0</formula>
    </cfRule>
  </conditionalFormatting>
  <conditionalFormatting sqref="A26:XFD26">
    <cfRule type="expression" dxfId="15" priority="14">
      <formula>CELL("protect", INDIRECT(ADDRESS(ROW(), COLUMN())))=0</formula>
    </cfRule>
  </conditionalFormatting>
  <conditionalFormatting sqref="A28:XFD48">
    <cfRule type="expression" dxfId="14" priority="5">
      <formula>CELL("protect", INDIRECT(ADDRESS(ROW(), COLUMN())))=0</formula>
    </cfRule>
  </conditionalFormatting>
  <conditionalFormatting sqref="B56:B57">
    <cfRule type="expression" dxfId="13" priority="20">
      <formula>CELL("protect", INDIRECT(ADDRESS(ROW(), COLUMN())))=0</formula>
    </cfRule>
  </conditionalFormatting>
  <conditionalFormatting sqref="B59:B60">
    <cfRule type="expression" dxfId="12" priority="19">
      <formula>CELL("protect", INDIRECT(ADDRESS(ROW(), COLUMN())))=0</formula>
    </cfRule>
  </conditionalFormatting>
  <conditionalFormatting sqref="B62:B63">
    <cfRule type="expression" dxfId="11" priority="18">
      <formula>CELL("protect", INDIRECT(ADDRESS(ROW(), COLUMN())))=0</formula>
    </cfRule>
  </conditionalFormatting>
  <conditionalFormatting sqref="B65:B66">
    <cfRule type="expression" dxfId="10" priority="17">
      <formula>CELL("protect", INDIRECT(ADDRESS(ROW(), COLUMN())))=0</formula>
    </cfRule>
  </conditionalFormatting>
  <conditionalFormatting sqref="B68:B69">
    <cfRule type="expression" dxfId="9" priority="9">
      <formula>CELL("protect", INDIRECT(ADDRESS(ROW(), COLUMN())))=0</formula>
    </cfRule>
  </conditionalFormatting>
  <conditionalFormatting sqref="B71:B72">
    <cfRule type="expression" dxfId="8" priority="8">
      <formula>CELL("protect", INDIRECT(ADDRESS(ROW(), COLUMN())))=0</formula>
    </cfRule>
  </conditionalFormatting>
  <conditionalFormatting sqref="H34">
    <cfRule type="expression" dxfId="7" priority="10">
      <formula>CELL("protect", INDIRECT(ADDRESS(ROW(), COLUMN())))=0</formula>
    </cfRule>
  </conditionalFormatting>
  <conditionalFormatting sqref="H41">
    <cfRule type="expression" dxfId="6" priority="12">
      <formula>CELL("protect", INDIRECT(ADDRESS(ROW(), COLUMN())))=0</formula>
    </cfRule>
  </conditionalFormatting>
  <conditionalFormatting sqref="H48">
    <cfRule type="expression" dxfId="5" priority="15">
      <formula>CELL("protect", INDIRECT(ADDRESS(ROW(), COLUMN())))=0</formula>
    </cfRule>
  </conditionalFormatting>
  <conditionalFormatting sqref="H33:S33">
    <cfRule type="expression" dxfId="4" priority="11">
      <formula>CELL("protect", INDIRECT(ADDRESS(ROW(), COLUMN())))=0</formula>
    </cfRule>
  </conditionalFormatting>
  <conditionalFormatting sqref="H40:S40">
    <cfRule type="expression" dxfId="3" priority="13">
      <formula>CELL("protect", INDIRECT(ADDRESS(ROW(), COLUMN())))=0</formula>
    </cfRule>
  </conditionalFormatting>
  <conditionalFormatting sqref="H47:S47">
    <cfRule type="expression" dxfId="2" priority="16">
      <formula>CELL("protect", INDIRECT(ADDRESS(ROW(), COLUMN())))=0</formula>
    </cfRule>
  </conditionalFormatting>
  <conditionalFormatting sqref="H15:U16">
    <cfRule type="expression" dxfId="1" priority="7">
      <formula>CELL("protect", INDIRECT(ADDRESS(ROW(), COLUMN())))=0</formula>
    </cfRule>
  </conditionalFormatting>
  <conditionalFormatting sqref="L11">
    <cfRule type="expression" dxfId="0" priority="1">
      <formula>CELL("protect", INDIRECT(ADDRESS(ROW(), COLUMN())))=0</formula>
    </cfRule>
  </conditionalFormatting>
  <dataValidations count="6">
    <dataValidation type="list" allowBlank="1" showInputMessage="1" showErrorMessage="1" sqref="H39:U39" xr:uid="{35D50D3B-23B7-4742-B058-43E1DCE4D708}">
      <formula1>$B$71:$B$72</formula1>
    </dataValidation>
    <dataValidation type="list" allowBlank="1" showInputMessage="1" showErrorMessage="1" sqref="H32:U32" xr:uid="{9CCAFBAC-4CD2-408A-84D0-3592B866198E}">
      <formula1>$B$68:$B$69</formula1>
    </dataValidation>
    <dataValidation type="list" allowBlank="1" showInputMessage="1" showErrorMessage="1" sqref="H46:U46" xr:uid="{4E12A3D2-E69C-4849-9CD8-0C716D0CAF0C}">
      <formula1>$B$65:$B$66</formula1>
    </dataValidation>
    <dataValidation type="list" allowBlank="1" showInputMessage="1" showErrorMessage="1" sqref="H25" xr:uid="{44975028-0594-467F-9F96-F869A0ACA03C}">
      <formula1>$B$62:$B$63</formula1>
    </dataValidation>
    <dataValidation type="list" allowBlank="1" showInputMessage="1" showErrorMessage="1" sqref="R18:U18 N18:O18" xr:uid="{8F38F86C-A3BD-411B-AF35-B6EC1C116402}">
      <formula1>$B$59:$B$60</formula1>
    </dataValidation>
    <dataValidation type="list" allowBlank="1" showInputMessage="1" showErrorMessage="1" sqref="H18:L18 P25:U25" xr:uid="{F352E6AB-2751-4D14-A0E5-E7E49A23B025}">
      <formula1>$B$56:$B$57</formula1>
    </dataValidation>
  </dataValidations>
  <printOptions horizontalCentered="1"/>
  <pageMargins left="0.43307086614173229" right="0.19685039370078741" top="0.74803149606299213" bottom="0.74803149606299213" header="0.31496062992125984" footer="0.31496062992125984"/>
  <pageSetup paperSize="9" scale="64" firstPageNumber="28" orientation="portrait" useFirstPageNumber="1" r:id="rId1"/>
  <headerFooter>
    <oddFooter>&amp;C
- Part 2-C&amp;P - (Rev.1)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outdr ter 33blow-TE</vt:lpstr>
      <vt:lpstr>outdr ter 33blow-3M</vt:lpstr>
      <vt:lpstr>cleat-Norma</vt:lpstr>
      <vt:lpstr>XLPE-PHD</vt:lpstr>
      <vt:lpstr>XLPE-BCC</vt:lpstr>
      <vt:lpstr>LV_Turnkey-PHD</vt:lpstr>
      <vt:lpstr>LV_Turnkey-BCC</vt:lpstr>
      <vt:lpstr>OHGW</vt:lpstr>
      <vt:lpstr>'cleat-Norma'!Print_Area</vt:lpstr>
      <vt:lpstr>'LV_Turnkey-BCC'!Print_Area</vt:lpstr>
      <vt:lpstr>'LV_Turnkey-PHD'!Print_Area</vt:lpstr>
      <vt:lpstr>OHGW!Print_Area</vt:lpstr>
      <vt:lpstr>'outdr ter 33blow-TE'!Print_Area</vt:lpstr>
      <vt:lpstr>'XLPE-BCC'!Print_Area</vt:lpstr>
      <vt:lpstr>'XLPE-PHD'!Print_Area</vt:lpstr>
      <vt:lpstr>'cleat-Norma'!Print_Titles</vt:lpstr>
      <vt:lpstr>'outdr ter 33blow-3M'!Print_Titles</vt:lpstr>
      <vt:lpstr>'outdr ter 33blow-TE'!Print_Titles</vt:lpstr>
      <vt:lpstr>'XLPE-BCC'!Print_Titles</vt:lpstr>
      <vt:lpstr>'XLPE-PHD'!Print_Titles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Weerasak Luksameekarnkar</dc:creator>
  <cp:lastModifiedBy>Weerasak Luksameekarnkar</cp:lastModifiedBy>
  <dcterms:created xsi:type="dcterms:W3CDTF">2026-02-20T06:30:23Z</dcterms:created>
  <dcterms:modified xsi:type="dcterms:W3CDTF">2026-02-20T06:30:59Z</dcterms:modified>
</cp:coreProperties>
</file>