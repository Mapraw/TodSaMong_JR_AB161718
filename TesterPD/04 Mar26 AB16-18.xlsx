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Rev1 จากบริษัท\b3 TEDA- comment เพิ่ม\r8\"/>
    </mc:Choice>
  </mc:AlternateContent>
  <xr:revisionPtr revIDLastSave="0" documentId="13_ncr:1_{4B48F501-E794-47A7-94E4-67F7755E675D}" xr6:coauthVersionLast="36" xr6:coauthVersionMax="36" xr10:uidLastSave="{00000000-0000-0000-0000-000000000000}"/>
  <bookViews>
    <workbookView xWindow="0" yWindow="0" windowWidth="28800" windowHeight="12105" firstSheet="1" activeTab="1" xr2:uid="{00000000-000D-0000-FFFF-FFFF00000000}"/>
  </bookViews>
  <sheets>
    <sheet name="outdr ter 33blow" sheetId="6" state="hidden" r:id="rId1"/>
    <sheet name="outdr ter 33blow (2)" sheetId="13" r:id="rId2"/>
    <sheet name="cleat" sheetId="8" r:id="rId3"/>
    <sheet name="cleat Trefoil 2 REV." sheetId="12" r:id="rId4"/>
    <sheet name="XLPE" sheetId="5" r:id="rId5"/>
    <sheet name="XLPE (2)" sheetId="4" r:id="rId6"/>
    <sheet name="LV_Turnkey (2)" sheetId="10" r:id="rId7"/>
    <sheet name="LV_Turnkey B" sheetId="11" r:id="rId8"/>
  </sheets>
  <definedNames>
    <definedName name="_xlnm.Print_Area" localSheetId="2">cleat!$A$1:$O$42</definedName>
    <definedName name="_xlnm.Print_Area" localSheetId="3">'cleat Trefoil 2 REV.'!$A$1:$O$42</definedName>
    <definedName name="_xlnm.Print_Area" localSheetId="6">'LV_Turnkey (2)'!$A$1:$V$49</definedName>
    <definedName name="_xlnm.Print_Area" localSheetId="7">'LV_Turnkey B'!$A$1:$V$49</definedName>
    <definedName name="_xlnm.Print_Area" localSheetId="0">'outdr ter 33blow'!$A$1:$O$45</definedName>
    <definedName name="_xlnm.Print_Area" localSheetId="1">'outdr ter 33blow (2)'!$A$1:$O$44</definedName>
    <definedName name="_xlnm.Print_Area" localSheetId="4">XLPE!$A$1:$N$53</definedName>
    <definedName name="_xlnm.Print_Area" localSheetId="5">'XLPE (2)'!$A$1:$N$53</definedName>
    <definedName name="_xlnm.Print_Titles" localSheetId="2">cleat!$1:$8</definedName>
    <definedName name="_xlnm.Print_Titles" localSheetId="3">'cleat Trefoil 2 REV.'!$1:$8</definedName>
    <definedName name="_xlnm.Print_Titles" localSheetId="0">'outdr ter 33blow'!$1:$8</definedName>
    <definedName name="_xlnm.Print_Titles" localSheetId="1">'outdr ter 33blow (2)'!$1:$8</definedName>
    <definedName name="_xlnm.Print_Titles" localSheetId="4">XLPE!$1:$8</definedName>
    <definedName name="_xlnm.Print_Titles" localSheetId="5">'XLPE (2)'!$1:$8</definedName>
  </definedNames>
  <calcPr calcId="191029"/>
</workbook>
</file>

<file path=xl/calcChain.xml><?xml version="1.0" encoding="utf-8"?>
<calcChain xmlns="http://schemas.openxmlformats.org/spreadsheetml/2006/main">
  <c r="S28" i="12" l="1"/>
  <c r="W29" i="12" s="1"/>
  <c r="Z27" i="12"/>
  <c r="Y27" i="12"/>
  <c r="X14" i="12"/>
  <c r="S28" i="8"/>
  <c r="W29" i="8" s="1"/>
  <c r="Z27" i="8"/>
  <c r="Y27" i="8"/>
  <c r="X14" i="8"/>
</calcChain>
</file>

<file path=xl/sharedStrings.xml><?xml version="1.0" encoding="utf-8"?>
<sst xmlns="http://schemas.openxmlformats.org/spreadsheetml/2006/main" count="771" uniqueCount="237">
  <si>
    <t>Other*</t>
  </si>
  <si>
    <t>conforming with EGAT requirement (IEC 62067)</t>
  </si>
  <si>
    <t>conforming with EGAT requirement (TIS 2202)</t>
  </si>
  <si>
    <t>conforming with EGAT requirement ( ICEA Pub. No S-93-639)</t>
  </si>
  <si>
    <t>Drawing and dimension of Cable Reels/Drums together with packing details shall be submitted during project stage for EGAT approval.</t>
  </si>
  <si>
    <t xml:space="preserve">Note [2]: </t>
  </si>
  <si>
    <t>Conductor Temperature not in Excess of 90°C at 100% Load Factor and at an Ambient Temperature of 45°C</t>
  </si>
  <si>
    <t xml:space="preserve">Note [1]: </t>
  </si>
  <si>
    <t>m</t>
  </si>
  <si>
    <t>Length of Cable per Reel</t>
  </si>
  <si>
    <t>s.</t>
  </si>
  <si>
    <r>
      <t>Ω</t>
    </r>
    <r>
      <rPr>
        <sz val="8.5"/>
        <rFont val="Times New Roman"/>
        <family val="1"/>
      </rPr>
      <t>/km</t>
    </r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</si>
  <si>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</si>
  <si>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</si>
  <si>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</si>
  <si>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</si>
  <si>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</si>
  <si>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</si>
  <si>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</si>
  <si>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</si>
  <si>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>A</t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</si>
  <si>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</si>
  <si>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</si>
  <si>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</si>
  <si>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</si>
  <si>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</si>
  <si>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</si>
  <si>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</si>
  <si>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</si>
  <si>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</si>
  <si>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</si>
  <si>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</si>
  <si>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</si>
  <si>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Black PVC</t>
  </si>
  <si>
    <t>(Material / Thickness)</t>
  </si>
  <si>
    <t>Oversheath (Jacket)</t>
  </si>
  <si>
    <t>m.</t>
  </si>
  <si>
    <t xml:space="preserve">        Polyester non-woven tape (Spunbond tape)</t>
  </si>
  <si>
    <t>Cushion</t>
  </si>
  <si>
    <t>l.</t>
  </si>
  <si>
    <t>Copper tape</t>
  </si>
  <si>
    <t>Metal Screen/Sheath</t>
  </si>
  <si>
    <t>k.</t>
  </si>
  <si>
    <t>Extruded Semi-Conducting Insulation Screen (min-max)</t>
  </si>
  <si>
    <t xml:space="preserve">Outside Diameter of Insulation with </t>
  </si>
  <si>
    <t>j.</t>
  </si>
  <si>
    <t>Semi-conductive XLPE</t>
  </si>
  <si>
    <t>Insulation Screen</t>
  </si>
  <si>
    <t>i.</t>
  </si>
  <si>
    <t>XLPE</t>
  </si>
  <si>
    <t>Insulation</t>
  </si>
  <si>
    <t>h.</t>
  </si>
  <si>
    <t>Conductor Screen</t>
  </si>
  <si>
    <t>g.</t>
  </si>
  <si>
    <t>Outside Diameter of Stranded Conductor</t>
  </si>
  <si>
    <t>f.</t>
  </si>
  <si>
    <t>2.65-2.71</t>
  </si>
  <si>
    <t>- Diameter of Each Wire</t>
  </si>
  <si>
    <t>- No. of Wires in the Stranded Conductor</t>
  </si>
  <si>
    <t>Annealed Copper</t>
  </si>
  <si>
    <t>- Material of Conductor</t>
  </si>
  <si>
    <r>
      <t>mm</t>
    </r>
    <r>
      <rPr>
        <vertAlign val="superscript"/>
        <sz val="10"/>
        <rFont val="Times New Roman"/>
        <family val="1"/>
      </rPr>
      <t>2</t>
    </r>
  </si>
  <si>
    <t>Calculated Cross-Sectional Area of Stranded Conductor</t>
  </si>
  <si>
    <t>e.</t>
  </si>
  <si>
    <t>Voltage Class</t>
  </si>
  <si>
    <t>d.</t>
  </si>
  <si>
    <t>*in case of other, please specify in the box below :</t>
  </si>
  <si>
    <t>Applied Standard</t>
  </si>
  <si>
    <t>c.</t>
  </si>
  <si>
    <t xml:space="preserve">25kV CU/XLPE/CTS/PVC </t>
  </si>
  <si>
    <t>Type / Model / Cat. NO.</t>
  </si>
  <si>
    <t>b.</t>
  </si>
  <si>
    <t>Thailand</t>
  </si>
  <si>
    <t>- Country of origin</t>
  </si>
  <si>
    <t>Pheplps Dodge International (Thailand) Ltd.</t>
  </si>
  <si>
    <t>- Manufacturer</t>
  </si>
  <si>
    <t>Manufacturer and Country of Origin</t>
  </si>
  <si>
    <t>a.</t>
  </si>
  <si>
    <t>1AB17-1</t>
  </si>
  <si>
    <t>ITEM NO.</t>
  </si>
  <si>
    <t>Teda Company Limited</t>
  </si>
  <si>
    <t>BIDDER</t>
  </si>
  <si>
    <t>1AB17</t>
  </si>
  <si>
    <t>SCHEDULE NO.</t>
  </si>
  <si>
    <t>RTS3-S-02</t>
  </si>
  <si>
    <t xml:space="preserve">PROCUREMENT REFERENCE </t>
  </si>
  <si>
    <t>PROPOSAL DATA</t>
  </si>
  <si>
    <t>Aug. 2025</t>
  </si>
  <si>
    <t>FORM PD 322</t>
  </si>
  <si>
    <t>115 kV and below XLPE POWER CABLE</t>
  </si>
  <si>
    <t>Bangkok Cable Co., Ltd.</t>
  </si>
  <si>
    <t>CV(TS)</t>
  </si>
  <si>
    <t>Copper</t>
  </si>
  <si>
    <t>Polyester Non-Woven Tape</t>
  </si>
  <si>
    <t>PVC</t>
  </si>
  <si>
    <t>33 kV and below CABLE TERMINATIONS
(for outdoor termination)</t>
  </si>
  <si>
    <t>FORM PD 326.MV</t>
  </si>
  <si>
    <t>Nov. 2024</t>
  </si>
  <si>
    <t>1AB16</t>
  </si>
  <si>
    <t>1AB16-1</t>
  </si>
  <si>
    <t>- Cable Terminations</t>
  </si>
  <si>
    <t>TE Connectivity (Raychem)</t>
  </si>
  <si>
    <t>USA</t>
  </si>
  <si>
    <t>conforming with EGAT requirement (IEEE 48)</t>
  </si>
  <si>
    <t>Material of Insulator</t>
  </si>
  <si>
    <t xml:space="preserve"> Silicone Rubber </t>
  </si>
  <si>
    <t>Rated Voltage</t>
  </si>
  <si>
    <t>Insulation Class 25 kV</t>
  </si>
  <si>
    <t>Power frequency (Dry)</t>
  </si>
  <si>
    <t>min</t>
  </si>
  <si>
    <t>Partial discharge</t>
  </si>
  <si>
    <t>Operating Environments</t>
  </si>
  <si>
    <t>Heavy Pollution</t>
  </si>
  <si>
    <t>Aerial Connector</t>
  </si>
  <si>
    <t>2 x 1 bolt holes NEMA Pad</t>
  </si>
  <si>
    <t>For XLPE Cable Suitability</t>
  </si>
  <si>
    <t>- Conductor Range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</si>
  <si>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</si>
  <si>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Insulation Diameter (min-max)</t>
  </si>
  <si>
    <t>Porcelain</t>
  </si>
  <si>
    <t xml:space="preserve">Other </t>
  </si>
  <si>
    <t>2 x 2 bolt holes NEMA Pad</t>
  </si>
  <si>
    <t>2 x 3 bolt holes NEMA Pad</t>
  </si>
  <si>
    <t>Medium Pollution</t>
  </si>
  <si>
    <t>Extremely Heavy Pollution</t>
  </si>
  <si>
    <t>Insulation Class 15 kV</t>
  </si>
  <si>
    <t>Insulation Class 35 kV</t>
  </si>
  <si>
    <t>X</t>
  </si>
  <si>
    <t>CABLE CLEATS</t>
  </si>
  <si>
    <t>PD 326.CC</t>
  </si>
  <si>
    <t>Dec.2024</t>
  </si>
  <si>
    <t>รายการตรวจ Cable cleat</t>
  </si>
  <si>
    <t>comment</t>
  </si>
  <si>
    <t>Material</t>
  </si>
  <si>
    <t>waiting for discussion with P'Ja</t>
  </si>
  <si>
    <t>Metallic:</t>
  </si>
  <si>
    <t>ALUMINUM 5000 SERIES</t>
  </si>
  <si>
    <t>1AB16-2</t>
  </si>
  <si>
    <t>SS316L Stainless steel</t>
  </si>
  <si>
    <t>Composite:</t>
  </si>
  <si>
    <t>Metalic part</t>
  </si>
  <si>
    <t>non-metallic part</t>
  </si>
  <si>
    <t>ANY</t>
  </si>
  <si>
    <t>Force/1Cleat must be more than RF EGAT</t>
  </si>
  <si>
    <t xml:space="preserve">ปรับให้พิจารณาแค่ type โดยขนาดของ cleat </t>
  </si>
  <si>
    <t>FLAT</t>
  </si>
  <si>
    <r>
      <t>Type/Model</t>
    </r>
    <r>
      <rPr>
        <vertAlign val="superscript"/>
        <sz val="10"/>
        <rFont val="Times New Roman"/>
        <family val="1"/>
      </rPr>
      <t>[1]</t>
    </r>
  </si>
  <si>
    <t>จะพิจารณาในขั้นบริหารสัญญา</t>
  </si>
  <si>
    <t>Calculated result</t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</si>
  <si>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</si>
  <si>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t>ตัดออกเนื่องจากพิจารณาขนาด</t>
  </si>
  <si>
    <t>- Overall Diameter Range</t>
  </si>
  <si>
    <t>mm.</t>
  </si>
  <si>
    <t>ในขั้นบริหารสัญญา</t>
  </si>
  <si>
    <t>conforming with EGAT requirement (IEC 61914)</t>
  </si>
  <si>
    <t>*in case of other, please specify in the box below: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</si>
  <si>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</si>
  <si>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Metallic</t>
  </si>
  <si>
    <t>แก้รูปแบบ</t>
  </si>
  <si>
    <t>Material :</t>
  </si>
  <si>
    <t>Composite</t>
  </si>
  <si>
    <t>EGAT</t>
  </si>
  <si>
    <t>and</t>
  </si>
  <si>
    <t>V</t>
  </si>
  <si>
    <t>I short circuit</t>
  </si>
  <si>
    <t>Lineal Spacing</t>
  </si>
  <si>
    <t>FLAT Force</t>
  </si>
  <si>
    <t>TREFOIL Force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</si>
  <si>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</si>
  <si>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t>- Cable centre spacing (S)</t>
  </si>
  <si>
    <t>Force</t>
  </si>
  <si>
    <t>- The peak short circuit current of the 2nd shortcircuit</t>
  </si>
  <si>
    <t>kA</t>
  </si>
  <si>
    <t>Trefoil wtihstrand force</t>
  </si>
  <si>
    <t>- Lineal spacing (D)</t>
  </si>
  <si>
    <t>Flat force withstrand force</t>
  </si>
  <si>
    <t>Formation</t>
  </si>
  <si>
    <t>Trefoil</t>
  </si>
  <si>
    <t>ขอย้ายไปด้านบนได้ไหม</t>
  </si>
  <si>
    <t>The exact size of Cable Cleat shall be confirmed after the exact overall diameter of XLPE power cable is confirmed during project stage.</t>
  </si>
  <si>
    <t>เพิ่มเพื่อความชัดเจน</t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</si>
  <si>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</si>
  <si>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</si>
  <si>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</si>
  <si>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[3]: </t>
  </si>
  <si>
    <t>The data specified in this item shall conform to the Type Test Report of the type proposed.</t>
  </si>
  <si>
    <t xml:space="preserve">Note [4]: </t>
  </si>
  <si>
    <t>The values shall be based on the same cables and conditions of the test for resistance to electromechanical forces specified in IEC 61914.</t>
  </si>
  <si>
    <t>Flat</t>
  </si>
  <si>
    <t xml:space="preserve"> RTS3-S-02</t>
  </si>
  <si>
    <t>NORMA GROUP</t>
  </si>
  <si>
    <t>CHINA</t>
  </si>
  <si>
    <t>FF-T2935</t>
  </si>
  <si>
    <t>Stainless Steel</t>
  </si>
  <si>
    <t>Polyolefin</t>
  </si>
  <si>
    <t>`</t>
  </si>
  <si>
    <t>LOW VOLTAGE CABLE AND CONDUCTOR</t>
  </si>
  <si>
    <t>FORM PD-LV Cable &amp; Con</t>
  </si>
  <si>
    <t>Oct.2024</t>
  </si>
  <si>
    <t>1AB18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</si>
  <si>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</si>
  <si>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</si>
  <si>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</si>
  <si>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</si>
  <si>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</si>
  <si>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</si>
  <si>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- Applied Standards</t>
  </si>
  <si>
    <t>conforming with EGAT requirement (TIS11-2559)</t>
  </si>
  <si>
    <t>conforming with EGAT requirement (TIS838-2531)</t>
  </si>
  <si>
    <t>Lighting cable (THW and/or NYY)</t>
  </si>
  <si>
    <t>THW (IEC01)</t>
  </si>
  <si>
    <t>NYY</t>
  </si>
  <si>
    <t>conforming with EGAT requirement (TIS11-2553)</t>
  </si>
  <si>
    <t>Annealed Copper Ground Wire</t>
  </si>
  <si>
    <t>conforming with EGAT requirement (ASTM B3, ASTM B8)</t>
  </si>
  <si>
    <t>Overhead Ground Wire</t>
  </si>
  <si>
    <t>Usha Siam</t>
  </si>
  <si>
    <t>Aluminum Conductor</t>
  </si>
  <si>
    <t>conforming with EGAT requirement (ASTM B231, ASTM B232)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</si>
  <si>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</si>
  <si>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</si>
  <si>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>conforming with EGAT requirement (ASTM A363)</t>
  </si>
  <si>
    <t>Phelps Dodge International (Thailand) Ltd.</t>
  </si>
  <si>
    <t>Phelps Dodge International (Thailand)</t>
  </si>
  <si>
    <t>Bangkok Cable</t>
  </si>
  <si>
    <t>1AB18-1, 1AB18-2, 1AB18-3, 1AB18-4, 1AB18-5, 1AB18-6, 1AB18-7</t>
  </si>
  <si>
    <t>Note: Although the conductor size range in this proposal does not conform to the XLPE proposal data, the cable termination is still suitable for use with the proposed XLPE cables.</t>
  </si>
  <si>
    <t>TFT-252E/SG</t>
  </si>
  <si>
    <t>CMP Products</t>
  </si>
  <si>
    <t>UNITED KINGDOM</t>
  </si>
  <si>
    <t xml:space="preserve">Patriot-HT  SDSS030035HT </t>
  </si>
  <si>
    <t>316L Stainless Steel</t>
  </si>
  <si>
    <t xml:space="preserve"> with Standard Polymer Liner
Standard Polymer Liners are classified as Low Smoke and 
Fume Zero Halogen (LSF0H), Phosphorus-free</t>
  </si>
  <si>
    <t>Note: Although the conductor size range in this proposal does not conform to the XLPE proposal data,
the cable termination is still suitable for use with XLPE cables.</t>
  </si>
  <si>
    <t>Silicone Rubber</t>
  </si>
  <si>
    <t>Outdoor 22kV/(Cold Shrink) QT-II 5652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</si>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</sst>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.5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10"/>
      <name val="Times New Roman"/>
      <family val="1"/>
    </font>
    <font>
      <u/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6"/>
      <color theme="1"/>
      <name val="TH Sarabun New"/>
      <family val="2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rgb="FFFF00FF"/>
      <name val="Times New Roman"/>
      <family val="1"/>
    </font>
    <font>
      <u/>
      <sz val="12"/>
      <color theme="1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6" fillId="0" borderId="0"/>
    <xf numFmtId="0" fontId="1" fillId="0" borderId="0"/>
    <xf numFmtId="0" fontId="17" fillId="0" borderId="0"/>
    <xf numFmtId="0" fontId="1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</cellStyleXfs>
  <cellXfs count="19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quotePrefix="1" applyFont="1"/>
    <xf numFmtId="0" fontId="3" fillId="0" borderId="0" xfId="0" applyFont="1" applyAlignment="1">
      <alignment shrinkToFit="1"/>
    </xf>
    <xf numFmtId="0" fontId="3" fillId="0" borderId="6" xfId="0" applyFont="1" applyBorder="1" applyAlignment="1" applyProtection="1">
      <alignment shrinkToFit="1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shrinkToFit="1"/>
    </xf>
    <xf numFmtId="0" fontId="3" fillId="0" borderId="6" xfId="0" applyFont="1" applyBorder="1" applyAlignment="1" applyProtection="1">
      <alignment horizontal="center" shrinkToFit="1"/>
      <protection locked="0"/>
    </xf>
    <xf numFmtId="0" fontId="3" fillId="0" borderId="0" xfId="0" quotePrefix="1" applyFont="1" applyAlignment="1">
      <alignment horizontal="center"/>
    </xf>
    <xf numFmtId="0" fontId="10" fillId="0" borderId="0" xfId="0" applyFont="1" applyAlignment="1">
      <alignment shrinkToFit="1"/>
    </xf>
    <xf numFmtId="0" fontId="10" fillId="0" borderId="0" xfId="0" applyFont="1"/>
    <xf numFmtId="0" fontId="11" fillId="0" borderId="0" xfId="0" applyFont="1" applyAlignment="1">
      <alignment shrinkToFit="1"/>
    </xf>
    <xf numFmtId="0" fontId="12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7" xfId="0" applyFont="1" applyBorder="1"/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6" xfId="0" applyFont="1" applyBorder="1" applyAlignment="1" applyProtection="1">
      <alignment shrinkToFit="1"/>
      <protection locked="0"/>
    </xf>
    <xf numFmtId="0" fontId="2" fillId="0" borderId="8" xfId="0" applyFont="1" applyBorder="1"/>
    <xf numFmtId="0" fontId="1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wrapText="1"/>
    </xf>
    <xf numFmtId="0" fontId="19" fillId="0" borderId="0" xfId="0" applyFont="1"/>
    <xf numFmtId="0" fontId="20" fillId="0" borderId="0" xfId="0" applyFont="1"/>
    <xf numFmtId="0" fontId="20" fillId="0" borderId="0" xfId="0" quotePrefix="1" applyFont="1"/>
    <xf numFmtId="0" fontId="2" fillId="0" borderId="0" xfId="0" applyFont="1" applyAlignment="1">
      <alignment horizontal="center"/>
    </xf>
    <xf numFmtId="0" fontId="21" fillId="0" borderId="0" xfId="0" applyFont="1"/>
    <xf numFmtId="0" fontId="2" fillId="0" borderId="6" xfId="0" applyFont="1" applyBorder="1" applyAlignment="1" applyProtection="1">
      <alignment horizontal="center" shrinkToFit="1"/>
      <protection locked="0"/>
    </xf>
    <xf numFmtId="0" fontId="3" fillId="0" borderId="12" xfId="0" applyFont="1" applyBorder="1" applyAlignment="1" applyProtection="1">
      <alignment shrinkToFit="1"/>
      <protection locked="0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quotePrefix="1" applyFont="1"/>
    <xf numFmtId="0" fontId="23" fillId="0" borderId="0" xfId="0" applyFont="1" applyAlignment="1">
      <alignment vertical="top"/>
    </xf>
    <xf numFmtId="0" fontId="13" fillId="0" borderId="0" xfId="0" applyFont="1" applyAlignment="1">
      <alignment horizontal="center"/>
    </xf>
    <xf numFmtId="0" fontId="24" fillId="0" borderId="0" xfId="0" applyFont="1"/>
    <xf numFmtId="0" fontId="3" fillId="0" borderId="3" xfId="0" applyFont="1" applyBorder="1"/>
    <xf numFmtId="0" fontId="2" fillId="0" borderId="5" xfId="0" applyFont="1" applyBorder="1"/>
    <xf numFmtId="0" fontId="3" fillId="0" borderId="6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/>
    <xf numFmtId="0" fontId="4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horizontal="left" vertical="top"/>
    </xf>
    <xf numFmtId="17" fontId="20" fillId="0" borderId="0" xfId="0" applyNumberFormat="1" applyFont="1"/>
    <xf numFmtId="0" fontId="15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6" xfId="0" applyFont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10" fillId="0" borderId="6" xfId="0" applyFont="1" applyBorder="1" applyAlignment="1" applyProtection="1">
      <alignment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2" xfId="0" applyFont="1" applyBorder="1" applyAlignment="1" applyProtection="1">
      <alignment shrinkToFit="1"/>
      <protection locked="0"/>
    </xf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" fillId="0" borderId="4" xfId="0" applyFont="1" applyBorder="1" applyAlignment="1" applyProtection="1">
      <alignment horizontal="left" vertical="top" shrinkToFit="1"/>
      <protection locked="0"/>
    </xf>
    <xf numFmtId="0" fontId="3" fillId="0" borderId="3" xfId="0" applyFont="1" applyBorder="1" applyAlignment="1" applyProtection="1">
      <alignment horizontal="left" vertical="top" shrinkToFit="1"/>
      <protection locked="0"/>
    </xf>
    <xf numFmtId="0" fontId="3" fillId="0" borderId="2" xfId="0" applyFont="1" applyBorder="1" applyAlignment="1" applyProtection="1">
      <alignment horizontal="left" vertical="top" shrinkToFit="1"/>
      <protection locked="0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 applyProtection="1">
      <alignment horizontal="center" shrinkToFit="1"/>
      <protection locked="0"/>
    </xf>
    <xf numFmtId="0" fontId="3" fillId="0" borderId="10" xfId="0" applyFont="1" applyBorder="1" applyAlignment="1" applyProtection="1">
      <alignment horizontal="center" shrinkToFit="1"/>
      <protection locked="0"/>
    </xf>
    <xf numFmtId="0" fontId="3" fillId="0" borderId="11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3" fillId="0" borderId="4" xfId="0" applyFont="1" applyBorder="1" applyAlignment="1" applyProtection="1">
      <alignment horizontal="center" shrinkToFit="1"/>
      <protection locked="0"/>
    </xf>
    <xf numFmtId="0" fontId="3" fillId="0" borderId="3" xfId="0" applyFont="1" applyBorder="1" applyAlignment="1" applyProtection="1">
      <alignment horizontal="center" shrinkToFit="1"/>
      <protection locked="0"/>
    </xf>
    <xf numFmtId="0" fontId="3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left" vertical="top" shrinkToFit="1"/>
      <protection locked="0"/>
    </xf>
    <xf numFmtId="0" fontId="2" fillId="0" borderId="3" xfId="0" applyFont="1" applyBorder="1" applyAlignment="1" applyProtection="1">
      <alignment horizontal="left" vertical="top" shrinkToFit="1"/>
      <protection locked="0"/>
    </xf>
    <xf numFmtId="0" fontId="2" fillId="0" borderId="2" xfId="0" applyFont="1" applyBorder="1" applyAlignment="1" applyProtection="1">
      <alignment horizontal="left" vertical="top" shrinkToFit="1"/>
      <protection locked="0"/>
    </xf>
    <xf numFmtId="0" fontId="2" fillId="0" borderId="4" xfId="0" applyFont="1" applyBorder="1" applyAlignment="1" applyProtection="1">
      <alignment horizontal="center" vertical="top" wrapText="1" shrinkToFit="1"/>
      <protection locked="0"/>
    </xf>
    <xf numFmtId="0" fontId="2" fillId="0" borderId="3" xfId="0" applyFont="1" applyBorder="1" applyAlignment="1" applyProtection="1">
      <alignment horizontal="center" vertical="top" wrapText="1" shrinkToFit="1"/>
      <protection locked="0"/>
    </xf>
    <xf numFmtId="0" fontId="2" fillId="0" borderId="2" xfId="0" applyFont="1" applyBorder="1" applyAlignment="1" applyProtection="1">
      <alignment horizontal="center" vertical="top" wrapText="1" shrinkToFit="1"/>
      <protection locked="0"/>
    </xf>
    <xf numFmtId="0" fontId="2" fillId="0" borderId="9" xfId="0" applyFont="1" applyBorder="1" applyAlignment="1" applyProtection="1">
      <alignment horizontal="center" shrinkToFit="1"/>
      <protection locked="0"/>
    </xf>
    <xf numFmtId="0" fontId="2" fillId="0" borderId="10" xfId="0" applyFont="1" applyBorder="1" applyAlignment="1" applyProtection="1">
      <alignment horizontal="center" shrinkToFit="1"/>
      <protection locked="0"/>
    </xf>
    <xf numFmtId="0" fontId="2" fillId="0" borderId="11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 applyProtection="1">
      <alignment horizontal="center" wrapText="1" shrinkToFit="1"/>
      <protection locked="0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3" fontId="3" fillId="0" borderId="4" xfId="0" applyNumberFormat="1" applyFont="1" applyBorder="1" applyAlignment="1" applyProtection="1">
      <alignment horizontal="center" shrinkToFit="1"/>
      <protection locked="0"/>
    </xf>
    <xf numFmtId="0" fontId="12" fillId="0" borderId="4" xfId="0" applyFont="1" applyBorder="1" applyAlignment="1" applyProtection="1">
      <alignment horizontal="left" vertical="top" shrinkToFit="1"/>
      <protection locked="0"/>
    </xf>
    <xf numFmtId="0" fontId="12" fillId="0" borderId="3" xfId="0" applyFont="1" applyBorder="1" applyAlignment="1" applyProtection="1">
      <alignment horizontal="left" vertical="top" shrinkToFit="1"/>
      <protection locked="0"/>
    </xf>
    <xf numFmtId="0" fontId="12" fillId="0" borderId="2" xfId="0" applyFont="1" applyBorder="1" applyAlignment="1" applyProtection="1">
      <alignment horizontal="left" vertical="top" shrinkToFi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9" fillId="0" borderId="0" xfId="0" applyFont="1" applyAlignment="1">
      <alignment horizontal="right"/>
    </xf>
    <xf numFmtId="17" fontId="9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2" fillId="0" borderId="23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16" xfId="0" applyFont="1" applyBorder="1" applyAlignment="1" applyProtection="1">
      <alignment horizontal="left" vertical="top" wrapText="1"/>
      <protection locked="0"/>
    </xf>
    <xf numFmtId="0" fontId="2" fillId="0" borderId="17" xfId="0" applyFont="1" applyBorder="1" applyAlignment="1" applyProtection="1">
      <alignment horizontal="left" vertical="top" wrapText="1"/>
      <protection locked="0"/>
    </xf>
    <xf numFmtId="0" fontId="2" fillId="0" borderId="18" xfId="0" applyFont="1" applyBorder="1" applyAlignment="1" applyProtection="1">
      <alignment horizontal="left" vertical="top" wrapText="1"/>
      <protection locked="0"/>
    </xf>
    <xf numFmtId="0" fontId="12" fillId="0" borderId="14" xfId="0" applyFont="1" applyBorder="1" applyAlignment="1" applyProtection="1">
      <alignment horizontal="left" vertical="top" wrapText="1"/>
      <protection locked="0"/>
    </xf>
    <xf numFmtId="0" fontId="12" fillId="0" borderId="15" xfId="0" applyFont="1" applyBorder="1" applyAlignment="1" applyProtection="1">
      <alignment horizontal="left" vertical="top" wrapText="1"/>
      <protection locked="0"/>
    </xf>
    <xf numFmtId="0" fontId="12" fillId="0" borderId="16" xfId="0" applyFont="1" applyBorder="1" applyAlignment="1" applyProtection="1">
      <alignment horizontal="left" vertical="top" wrapText="1"/>
      <protection locked="0"/>
    </xf>
    <xf numFmtId="0" fontId="12" fillId="0" borderId="17" xfId="0" applyFont="1" applyBorder="1" applyAlignment="1" applyProtection="1">
      <alignment horizontal="left" vertical="top" wrapText="1"/>
      <protection locked="0"/>
    </xf>
    <xf numFmtId="0" fontId="12" fillId="0" borderId="18" xfId="0" applyFont="1" applyBorder="1" applyAlignment="1" applyProtection="1">
      <alignment horizontal="left" vertical="top" wrapText="1"/>
      <protection locked="0"/>
    </xf>
    <xf numFmtId="0" fontId="25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" fillId="0" borderId="19" xfId="0" applyFont="1" applyBorder="1" applyAlignment="1" applyProtection="1">
      <alignment vertical="top" wrapText="1"/>
      <protection locked="0"/>
    </xf>
    <xf numFmtId="0" fontId="2" fillId="0" borderId="20" xfId="0" applyFont="1" applyBorder="1" applyAlignment="1" applyProtection="1">
      <alignment vertical="top" wrapText="1"/>
      <protection locked="0"/>
    </xf>
    <xf numFmtId="0" fontId="2" fillId="0" borderId="21" xfId="0" applyFont="1" applyBorder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12" fillId="0" borderId="20" xfId="0" applyFont="1" applyBorder="1" applyAlignment="1" applyProtection="1">
      <alignment vertical="top" wrapText="1"/>
      <protection locked="0"/>
    </xf>
    <xf numFmtId="0" fontId="12" fillId="0" borderId="21" xfId="0" applyFont="1" applyBorder="1" applyAlignment="1" applyProtection="1">
      <alignment vertical="top" wrapText="1"/>
      <protection locked="0"/>
    </xf>
    <xf numFmtId="0" fontId="12" fillId="0" borderId="4" xfId="0" applyFont="1" applyBorder="1" applyAlignment="1" applyProtection="1">
      <alignment horizontal="left" vertical="top" wrapText="1"/>
      <protection locked="0"/>
    </xf>
    <xf numFmtId="0" fontId="12" fillId="0" borderId="3" xfId="0" applyFont="1" applyBorder="1" applyAlignment="1" applyProtection="1">
      <alignment horizontal="left" vertical="top" wrapText="1"/>
      <protection locked="0"/>
    </xf>
    <xf numFmtId="0" fontId="12" fillId="0" borderId="2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12" fillId="0" borderId="3" xfId="0" applyFont="1" applyBorder="1" applyAlignment="1" applyProtection="1">
      <alignment horizontal="center" vertical="top"/>
      <protection locked="0"/>
    </xf>
    <xf numFmtId="0" fontId="12" fillId="0" borderId="2" xfId="0" applyFon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7" fillId="0" borderId="4" xfId="0" applyFont="1" applyBorder="1" applyAlignment="1" applyProtection="1">
      <alignment horizontal="left" vertical="top" wrapText="1"/>
      <protection locked="0"/>
    </xf>
    <xf numFmtId="0" fontId="26" fillId="0" borderId="3" xfId="0" applyFont="1" applyBorder="1" applyAlignment="1" applyProtection="1">
      <alignment horizontal="left" vertical="top" wrapText="1"/>
      <protection locked="0"/>
    </xf>
    <xf numFmtId="0" fontId="26" fillId="0" borderId="2" xfId="0" applyFont="1" applyBorder="1" applyAlignment="1" applyProtection="1">
      <alignment horizontal="left" vertical="top" wrapText="1"/>
      <protection locked="0"/>
    </xf>
    <xf numFmtId="0" fontId="26" fillId="0" borderId="4" xfId="0" applyFont="1" applyBorder="1" applyAlignment="1" applyProtection="1">
      <alignment horizontal="left" vertical="top"/>
      <protection locked="0"/>
    </xf>
    <xf numFmtId="0" fontId="26" fillId="0" borderId="3" xfId="0" applyFont="1" applyBorder="1" applyAlignment="1" applyProtection="1">
      <alignment horizontal="left" vertical="top"/>
      <protection locked="0"/>
    </xf>
    <xf numFmtId="0" fontId="26" fillId="0" borderId="2" xfId="0" applyFont="1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12" fillId="0" borderId="19" xfId="0" applyFont="1" applyBorder="1" applyAlignment="1" applyProtection="1">
      <alignment vertical="top" wrapText="1"/>
      <protection locked="0"/>
    </xf>
    <xf numFmtId="0" fontId="12" fillId="0" borderId="4" xfId="0" applyFont="1" applyBorder="1" applyAlignment="1" applyProtection="1">
      <alignment horizontal="center" vertical="top"/>
      <protection locked="0"/>
    </xf>
    <xf numFmtId="0" fontId="26" fillId="0" borderId="4" xfId="0" applyFont="1" applyBorder="1" applyAlignment="1" applyProtection="1">
      <alignment horizontal="left" vertical="top" wrapText="1"/>
      <protection locked="0"/>
    </xf>
  </cellXfs>
  <cellStyles count="1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3" xfId="6" xr:uid="{00000000-0005-0000-0000-000006000000}"/>
    <cellStyle name="Normal 3 2" xfId="7" xr:uid="{00000000-0005-0000-0000-000007000000}"/>
    <cellStyle name="Normal 3 2 2" xfId="8" xr:uid="{00000000-0005-0000-0000-000008000000}"/>
    <cellStyle name="Normal 3 2 3" xfId="9" xr:uid="{00000000-0005-0000-0000-000009000000}"/>
    <cellStyle name="Normal 3 2 4" xfId="10" xr:uid="{00000000-0005-0000-0000-00000A000000}"/>
    <cellStyle name="Normal 4" xfId="11" xr:uid="{00000000-0005-0000-0000-00000B000000}"/>
    <cellStyle name="Normal 4 2" xfId="12" xr:uid="{00000000-0005-0000-0000-00000C000000}"/>
    <cellStyle name="Normal 5" xfId="13" xr:uid="{00000000-0005-0000-0000-00000D000000}"/>
  </cellStyles>
  <dxfs count="104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2"/>
  <sheetViews>
    <sheetView view="pageBreakPreview" zoomScale="115" zoomScaleNormal="85" zoomScaleSheetLayoutView="115" workbookViewId="0">
      <selection activeCell="E43" sqref="E43"/>
    </sheetView>
  </sheetViews>
  <sheetFormatPr defaultColWidth="8.85546875" defaultRowHeight="12.75"/>
  <cols>
    <col min="1" max="1" width="2.140625" style="1" customWidth="1"/>
    <col min="2" max="2" width="8.85546875" style="1"/>
    <col min="3" max="3" width="31.140625" style="1" bestFit="1" customWidth="1"/>
    <col min="4" max="4" width="8.85546875" style="1"/>
    <col min="5" max="5" width="47" style="1" customWidth="1"/>
    <col min="6" max="6" width="1.42578125" style="1" customWidth="1"/>
    <col min="7" max="7" width="2.85546875" style="1" customWidth="1"/>
    <col min="8" max="8" width="1.140625" style="1" customWidth="1"/>
    <col min="9" max="9" width="8.85546875" style="1"/>
    <col min="10" max="10" width="2.85546875" style="1" customWidth="1"/>
    <col min="11" max="11" width="9.140625" style="1" customWidth="1"/>
    <col min="12" max="12" width="1.7109375" style="1" customWidth="1"/>
    <col min="13" max="13" width="1.140625" style="1" customWidth="1"/>
    <col min="14" max="14" width="8.85546875" style="1"/>
    <col min="15" max="15" width="4.140625" style="1" customWidth="1"/>
    <col min="16" max="16384" width="8.85546875" style="1"/>
  </cols>
  <sheetData>
    <row r="1" spans="1:15" ht="34.9" customHeight="1">
      <c r="A1" s="97" t="s">
        <v>95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ht="13.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98" t="s">
        <v>96</v>
      </c>
      <c r="M2" s="98"/>
      <c r="N2" s="98"/>
      <c r="O2" s="98"/>
    </row>
    <row r="3" spans="1: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98" t="s">
        <v>97</v>
      </c>
      <c r="O3" s="98"/>
    </row>
    <row r="4" spans="1:15" ht="7.9" customHeight="1"/>
    <row r="5" spans="1:15" ht="15" thickBot="1">
      <c r="A5" s="39" t="s">
        <v>86</v>
      </c>
      <c r="G5" s="22"/>
      <c r="M5" s="99"/>
      <c r="N5" s="99"/>
      <c r="O5" s="99"/>
    </row>
    <row r="6" spans="1:15" ht="15" thickBot="1">
      <c r="A6" s="39" t="s">
        <v>85</v>
      </c>
      <c r="E6" s="9" t="s">
        <v>84</v>
      </c>
      <c r="G6" s="39" t="s">
        <v>83</v>
      </c>
      <c r="J6" s="3"/>
      <c r="K6" s="100" t="s">
        <v>98</v>
      </c>
      <c r="L6" s="101"/>
      <c r="M6" s="101"/>
      <c r="N6" s="101"/>
      <c r="O6" s="102"/>
    </row>
    <row r="7" spans="1:15" ht="15" thickBot="1">
      <c r="A7" s="39" t="s">
        <v>81</v>
      </c>
      <c r="C7" s="103" t="s">
        <v>80</v>
      </c>
      <c r="D7" s="104"/>
      <c r="G7" s="39" t="s">
        <v>79</v>
      </c>
      <c r="J7" s="105" t="s">
        <v>99</v>
      </c>
      <c r="K7" s="106"/>
      <c r="L7" s="106"/>
      <c r="M7" s="106"/>
      <c r="N7" s="106"/>
      <c r="O7" s="107"/>
    </row>
    <row r="10" spans="1:15" ht="15.75">
      <c r="A10" s="40" t="s">
        <v>77</v>
      </c>
      <c r="B10" s="40" t="s">
        <v>76</v>
      </c>
      <c r="C10" s="40"/>
      <c r="D10" s="40"/>
      <c r="E10" s="40"/>
    </row>
    <row r="11" spans="1:15" ht="16.5" thickBot="1">
      <c r="A11" s="40"/>
      <c r="B11" s="41" t="s">
        <v>100</v>
      </c>
      <c r="C11" s="40"/>
      <c r="D11" s="40"/>
      <c r="E11" s="40"/>
    </row>
    <row r="12" spans="1:15" ht="15" customHeight="1" thickBot="1">
      <c r="A12" s="40"/>
      <c r="B12" s="41"/>
      <c r="C12" s="41" t="s">
        <v>75</v>
      </c>
      <c r="D12" s="40"/>
      <c r="E12" s="40"/>
      <c r="G12" s="103" t="s">
        <v>101</v>
      </c>
      <c r="H12" s="108"/>
      <c r="I12" s="108"/>
      <c r="J12" s="108"/>
      <c r="K12" s="108"/>
      <c r="L12" s="108"/>
      <c r="M12" s="108"/>
      <c r="N12" s="108"/>
      <c r="O12" s="104"/>
    </row>
    <row r="13" spans="1:15" ht="16.5" thickBot="1">
      <c r="A13" s="40"/>
      <c r="B13" s="41"/>
      <c r="C13" s="41" t="s">
        <v>73</v>
      </c>
      <c r="D13" s="40"/>
      <c r="E13" s="40"/>
      <c r="G13" s="103" t="s">
        <v>102</v>
      </c>
      <c r="H13" s="108"/>
      <c r="I13" s="108"/>
      <c r="J13" s="108"/>
      <c r="K13" s="108"/>
      <c r="L13" s="108"/>
      <c r="M13" s="108"/>
      <c r="N13" s="108"/>
      <c r="O13" s="104"/>
    </row>
    <row r="14" spans="1:15" ht="6" customHeight="1" thickBot="1">
      <c r="A14" s="40"/>
      <c r="B14" s="41"/>
      <c r="C14" s="40"/>
      <c r="D14" s="40"/>
      <c r="E14" s="40"/>
      <c r="G14" s="42"/>
      <c r="H14" s="42"/>
      <c r="I14" s="42"/>
      <c r="J14" s="42"/>
      <c r="K14" s="42"/>
      <c r="L14" s="42"/>
      <c r="M14" s="42"/>
      <c r="N14" s="42"/>
    </row>
    <row r="15" spans="1:15" ht="36.75" customHeight="1" thickBot="1">
      <c r="A15" s="40" t="s">
        <v>71</v>
      </c>
      <c r="B15" s="40" t="s">
        <v>70</v>
      </c>
      <c r="C15" s="40"/>
      <c r="D15" s="40"/>
      <c r="E15" s="79"/>
      <c r="G15" s="105" t="s">
        <v>227</v>
      </c>
      <c r="H15" s="106"/>
      <c r="I15" s="106"/>
      <c r="J15" s="106"/>
      <c r="K15" s="106"/>
      <c r="L15" s="106"/>
      <c r="M15" s="106"/>
      <c r="N15" s="106"/>
      <c r="O15" s="107"/>
    </row>
    <row r="16" spans="1:15" ht="7.15" customHeight="1" thickBot="1">
      <c r="A16" s="40"/>
      <c r="B16" s="40"/>
      <c r="C16" s="40"/>
      <c r="D16" s="40"/>
      <c r="E16" s="40"/>
    </row>
    <row r="17" spans="1:15" ht="17.45" customHeight="1" thickBot="1">
      <c r="A17" s="40" t="s">
        <v>68</v>
      </c>
      <c r="B17" s="40" t="s">
        <v>67</v>
      </c>
      <c r="C17" s="40"/>
      <c r="D17" s="40"/>
      <c r="E17" s="40"/>
      <c r="G17" s="109" t="s">
        <v>103</v>
      </c>
      <c r="H17" s="110"/>
      <c r="I17" s="110"/>
      <c r="J17" s="110"/>
      <c r="K17" s="110"/>
      <c r="L17" s="110"/>
      <c r="M17" s="110"/>
      <c r="N17" s="111"/>
    </row>
    <row r="18" spans="1:15" ht="13.9" customHeight="1" thickBot="1">
      <c r="A18" s="40"/>
      <c r="B18" s="40"/>
      <c r="C18" s="40"/>
      <c r="D18" s="40"/>
      <c r="E18" s="40"/>
      <c r="G18" s="1" t="s">
        <v>66</v>
      </c>
      <c r="I18" s="2"/>
      <c r="J18" s="2"/>
      <c r="K18" s="2"/>
      <c r="L18" s="2"/>
      <c r="M18" s="2"/>
      <c r="N18" s="2"/>
      <c r="O18" s="2"/>
    </row>
    <row r="19" spans="1:15" ht="61.15" customHeight="1" thickBot="1">
      <c r="A19" s="40"/>
      <c r="B19" s="40"/>
      <c r="C19" s="40"/>
      <c r="D19" s="40"/>
      <c r="E19" s="40"/>
      <c r="G19" s="109"/>
      <c r="H19" s="110"/>
      <c r="I19" s="110"/>
      <c r="J19" s="110"/>
      <c r="K19" s="110"/>
      <c r="L19" s="110"/>
      <c r="M19" s="110"/>
      <c r="N19" s="110"/>
      <c r="O19" s="111"/>
    </row>
    <row r="20" spans="1:15" ht="6" customHeight="1" thickBot="1">
      <c r="A20" s="40"/>
      <c r="B20" s="40"/>
      <c r="C20" s="40"/>
      <c r="D20" s="40"/>
      <c r="E20" s="40"/>
    </row>
    <row r="21" spans="1:15" ht="15" customHeight="1" thickBot="1">
      <c r="A21" s="40" t="s">
        <v>65</v>
      </c>
      <c r="B21" s="40" t="s">
        <v>104</v>
      </c>
      <c r="C21" s="40"/>
      <c r="D21" s="40"/>
      <c r="E21" s="40"/>
      <c r="G21" s="94" t="s">
        <v>105</v>
      </c>
      <c r="H21" s="95"/>
      <c r="I21" s="95"/>
      <c r="J21" s="95"/>
      <c r="K21" s="95"/>
      <c r="L21" s="95"/>
      <c r="M21" s="95"/>
      <c r="N21" s="96"/>
    </row>
    <row r="22" spans="1:15" ht="7.15" customHeight="1" thickBot="1">
      <c r="A22" s="40"/>
      <c r="B22" s="40"/>
      <c r="C22" s="40"/>
      <c r="D22" s="40"/>
      <c r="E22" s="40"/>
      <c r="G22" s="42"/>
      <c r="H22" s="42"/>
      <c r="I22" s="42"/>
      <c r="J22" s="42"/>
      <c r="K22" s="42"/>
      <c r="L22" s="42"/>
      <c r="M22" s="42"/>
      <c r="N22" s="42"/>
    </row>
    <row r="23" spans="1:15" ht="15" customHeight="1" thickBot="1">
      <c r="A23" s="40" t="s">
        <v>63</v>
      </c>
      <c r="B23" s="40" t="s">
        <v>106</v>
      </c>
      <c r="C23" s="40"/>
      <c r="D23" s="40"/>
      <c r="E23" s="43"/>
      <c r="G23" s="94" t="s">
        <v>107</v>
      </c>
      <c r="H23" s="95"/>
      <c r="I23" s="95"/>
      <c r="J23" s="95"/>
      <c r="K23" s="95"/>
      <c r="L23" s="95"/>
      <c r="M23" s="95"/>
      <c r="N23" s="96"/>
      <c r="O23" s="1" t="s">
        <v>24</v>
      </c>
    </row>
    <row r="24" spans="1:15" customFormat="1" ht="15" customHeight="1" thickBot="1">
      <c r="A24" s="40"/>
      <c r="B24" s="40"/>
      <c r="C24" s="40"/>
      <c r="D24" s="40"/>
      <c r="E24" s="40"/>
      <c r="F24" s="1"/>
      <c r="G24" s="1" t="s">
        <v>66</v>
      </c>
      <c r="H24" s="1"/>
      <c r="I24" s="2"/>
      <c r="J24" s="2"/>
      <c r="K24" s="2"/>
      <c r="L24" s="2"/>
      <c r="M24" s="2"/>
      <c r="N24" s="2"/>
      <c r="O24" s="2"/>
    </row>
    <row r="25" spans="1:15" customFormat="1" ht="54" customHeight="1" thickBot="1">
      <c r="A25" s="40"/>
      <c r="B25" s="40"/>
      <c r="C25" s="40"/>
      <c r="D25" s="40"/>
      <c r="E25" s="40"/>
      <c r="F25" s="1"/>
      <c r="G25" s="109"/>
      <c r="H25" s="110"/>
      <c r="I25" s="110"/>
      <c r="J25" s="110"/>
      <c r="K25" s="110"/>
      <c r="L25" s="110"/>
      <c r="M25" s="110"/>
      <c r="N25" s="110"/>
      <c r="O25" s="111"/>
    </row>
    <row r="26" spans="1:15" ht="5.45" customHeight="1" thickBot="1">
      <c r="A26" s="40"/>
      <c r="B26" s="40"/>
      <c r="C26" s="40"/>
      <c r="D26" s="40"/>
      <c r="E26" s="40"/>
      <c r="G26" s="42"/>
      <c r="H26" s="42"/>
      <c r="I26" s="42"/>
      <c r="J26" s="42"/>
      <c r="K26" s="42"/>
      <c r="L26" s="42"/>
      <c r="M26" s="42"/>
      <c r="N26" s="42"/>
    </row>
    <row r="27" spans="1:15" ht="15" customHeight="1" thickBot="1">
      <c r="A27" s="40" t="s">
        <v>55</v>
      </c>
      <c r="B27" s="40" t="s">
        <v>25</v>
      </c>
      <c r="C27" s="40"/>
      <c r="D27" s="40"/>
      <c r="E27" s="40"/>
      <c r="G27" s="103">
        <v>150</v>
      </c>
      <c r="H27" s="108"/>
      <c r="I27" s="108"/>
      <c r="J27" s="108"/>
      <c r="K27" s="104"/>
      <c r="L27" s="1" t="s">
        <v>24</v>
      </c>
    </row>
    <row r="28" spans="1:15" ht="7.15" customHeight="1" thickBot="1">
      <c r="A28" s="40"/>
      <c r="B28" s="40"/>
      <c r="C28" s="40"/>
      <c r="D28" s="40"/>
      <c r="E28" s="40"/>
      <c r="G28" s="42"/>
      <c r="H28" s="42"/>
      <c r="I28" s="42"/>
      <c r="J28" s="42"/>
      <c r="K28" s="42"/>
      <c r="L28" s="42"/>
      <c r="M28" s="42"/>
    </row>
    <row r="29" spans="1:15" ht="15" customHeight="1" thickBot="1">
      <c r="A29" s="40" t="s">
        <v>53</v>
      </c>
      <c r="B29" s="40" t="s">
        <v>108</v>
      </c>
      <c r="C29" s="40"/>
      <c r="D29" s="40"/>
      <c r="E29" s="40"/>
      <c r="G29" s="103">
        <v>65</v>
      </c>
      <c r="H29" s="108"/>
      <c r="I29" s="104"/>
      <c r="J29" s="42" t="s">
        <v>24</v>
      </c>
      <c r="K29" s="44">
        <v>1</v>
      </c>
      <c r="L29" s="2" t="s">
        <v>109</v>
      </c>
      <c r="M29" s="2"/>
    </row>
    <row r="30" spans="1:15" ht="6" customHeight="1" thickBot="1">
      <c r="A30" s="40"/>
      <c r="B30" s="40"/>
      <c r="C30" s="40"/>
      <c r="D30" s="40"/>
      <c r="E30" s="40"/>
      <c r="G30" s="42"/>
      <c r="H30" s="42"/>
      <c r="I30" s="42"/>
      <c r="J30" s="42"/>
      <c r="K30" s="42"/>
      <c r="L30" s="42"/>
      <c r="M30" s="42"/>
    </row>
    <row r="31" spans="1:15" ht="15" customHeight="1" thickBot="1">
      <c r="A31" s="40" t="s">
        <v>51</v>
      </c>
      <c r="B31" s="40" t="s">
        <v>110</v>
      </c>
      <c r="C31" s="40"/>
      <c r="D31" s="40"/>
      <c r="E31" s="40"/>
      <c r="G31" s="103">
        <v>21.5</v>
      </c>
      <c r="H31" s="108"/>
      <c r="I31" s="108"/>
      <c r="J31" s="108"/>
      <c r="K31" s="104"/>
      <c r="L31" s="2" t="s">
        <v>24</v>
      </c>
      <c r="M31" s="2"/>
    </row>
    <row r="32" spans="1:15" ht="7.15" customHeight="1" thickBot="1">
      <c r="A32" s="40"/>
      <c r="B32" s="40"/>
      <c r="C32" s="40"/>
      <c r="D32" s="40"/>
      <c r="E32" s="40"/>
      <c r="G32" s="42"/>
      <c r="H32" s="42"/>
      <c r="I32" s="42"/>
      <c r="J32" s="42"/>
      <c r="K32" s="42"/>
      <c r="L32" s="42"/>
      <c r="M32" s="42"/>
      <c r="N32" s="42"/>
    </row>
    <row r="33" spans="1:15" ht="15" customHeight="1" thickBot="1">
      <c r="A33" s="40" t="s">
        <v>48</v>
      </c>
      <c r="B33" s="40" t="s">
        <v>111</v>
      </c>
      <c r="C33" s="40"/>
      <c r="D33" s="40"/>
      <c r="E33" s="40"/>
      <c r="G33" s="109" t="s">
        <v>112</v>
      </c>
      <c r="H33" s="110"/>
      <c r="I33" s="110"/>
      <c r="J33" s="110"/>
      <c r="K33" s="110"/>
      <c r="L33" s="110"/>
      <c r="M33" s="110"/>
      <c r="N33" s="111"/>
    </row>
    <row r="34" spans="1:15" ht="15" customHeight="1" thickBot="1">
      <c r="A34" s="40"/>
      <c r="B34" s="40"/>
      <c r="C34" s="40"/>
      <c r="D34" s="40"/>
      <c r="E34" s="40"/>
      <c r="G34" s="1" t="s">
        <v>66</v>
      </c>
      <c r="I34" s="2"/>
      <c r="J34" s="2"/>
      <c r="K34" s="2"/>
      <c r="L34" s="2"/>
      <c r="M34" s="2"/>
      <c r="N34" s="2"/>
      <c r="O34" s="2"/>
    </row>
    <row r="35" spans="1:15" ht="50.45" customHeight="1" thickBot="1">
      <c r="A35" s="40"/>
      <c r="B35" s="40"/>
      <c r="C35" s="40"/>
      <c r="D35" s="40"/>
      <c r="E35" s="40"/>
      <c r="G35" s="109"/>
      <c r="H35" s="110"/>
      <c r="I35" s="110"/>
      <c r="J35" s="110"/>
      <c r="K35" s="110"/>
      <c r="L35" s="110"/>
      <c r="M35" s="110"/>
      <c r="N35" s="110"/>
      <c r="O35" s="111"/>
    </row>
    <row r="36" spans="1:15" ht="7.15" customHeight="1" thickBot="1">
      <c r="A36" s="40"/>
      <c r="B36" s="40"/>
      <c r="C36" s="40"/>
      <c r="D36" s="40"/>
      <c r="E36" s="40"/>
      <c r="G36" s="42"/>
      <c r="H36" s="42"/>
      <c r="I36" s="42"/>
      <c r="J36" s="42"/>
      <c r="K36" s="42"/>
      <c r="L36" s="42"/>
      <c r="M36" s="42"/>
      <c r="N36" s="42"/>
    </row>
    <row r="37" spans="1:15" ht="15" customHeight="1" thickBot="1">
      <c r="A37" s="40" t="s">
        <v>45</v>
      </c>
      <c r="B37" s="40" t="s">
        <v>113</v>
      </c>
      <c r="C37" s="40"/>
      <c r="D37" s="40"/>
      <c r="E37" s="40"/>
      <c r="G37" s="109" t="s">
        <v>114</v>
      </c>
      <c r="H37" s="110"/>
      <c r="I37" s="110"/>
      <c r="J37" s="110"/>
      <c r="K37" s="110"/>
      <c r="L37" s="110"/>
      <c r="M37" s="110"/>
      <c r="N37" s="111"/>
    </row>
    <row r="38" spans="1:15" ht="15" customHeight="1" thickBot="1">
      <c r="A38" s="40"/>
      <c r="B38" s="40"/>
      <c r="C38" s="40"/>
      <c r="D38" s="40"/>
      <c r="E38" s="40"/>
      <c r="G38" s="1" t="s">
        <v>66</v>
      </c>
      <c r="I38" s="2"/>
      <c r="J38" s="2"/>
      <c r="K38" s="2"/>
      <c r="L38" s="2"/>
      <c r="M38" s="2"/>
      <c r="N38" s="2"/>
      <c r="O38" s="2"/>
    </row>
    <row r="39" spans="1:15" ht="53.45" customHeight="1" thickBot="1">
      <c r="A39" s="40"/>
      <c r="B39" s="40"/>
      <c r="C39" s="40"/>
      <c r="D39" s="40"/>
      <c r="E39" s="40"/>
      <c r="G39" s="109"/>
      <c r="H39" s="110"/>
      <c r="I39" s="110"/>
      <c r="J39" s="110"/>
      <c r="K39" s="110"/>
      <c r="L39" s="110"/>
      <c r="M39" s="110"/>
      <c r="N39" s="110"/>
      <c r="O39" s="111"/>
    </row>
    <row r="40" spans="1:15" ht="15" customHeight="1" thickBot="1">
      <c r="A40" s="40" t="s">
        <v>42</v>
      </c>
      <c r="B40" s="40" t="s">
        <v>115</v>
      </c>
      <c r="C40" s="40"/>
      <c r="D40" s="40"/>
      <c r="E40" s="40"/>
      <c r="G40" s="42"/>
      <c r="H40" s="42"/>
      <c r="I40" s="42"/>
      <c r="J40" s="42"/>
      <c r="K40" s="42"/>
      <c r="L40" s="42"/>
      <c r="M40" s="42"/>
      <c r="N40" s="42"/>
    </row>
    <row r="41" spans="1:15" ht="15" customHeight="1" thickBot="1">
      <c r="A41" s="40"/>
      <c r="B41" s="40"/>
      <c r="C41" s="41" t="s">
        <v>116</v>
      </c>
      <c r="D41" s="40"/>
      <c r="E41" s="43"/>
      <c r="G41" s="1" t="s">
        <v>29</v>
      </c>
      <c r="I41" s="9">
        <v>35</v>
      </c>
      <c r="J41" s="3" t="s">
        <v>61</v>
      </c>
      <c r="K41" s="5"/>
      <c r="L41" s="31" t="s">
        <v>28</v>
      </c>
      <c r="M41" s="5"/>
      <c r="N41" s="9">
        <v>50</v>
      </c>
      <c r="O41" s="1" t="s">
        <v>117</v>
      </c>
    </row>
    <row r="42" spans="1:15" ht="15" customHeight="1" thickBot="1">
      <c r="A42" s="40"/>
      <c r="B42" s="40"/>
      <c r="C42" s="41" t="s">
        <v>118</v>
      </c>
      <c r="D42" s="40"/>
      <c r="E42" s="43"/>
      <c r="G42" s="1" t="s">
        <v>29</v>
      </c>
      <c r="I42" s="45">
        <v>22</v>
      </c>
      <c r="J42" s="3" t="s">
        <v>27</v>
      </c>
      <c r="K42" s="5"/>
      <c r="L42" s="31" t="s">
        <v>28</v>
      </c>
      <c r="M42" s="5"/>
      <c r="N42" s="80">
        <v>37</v>
      </c>
      <c r="O42" s="1" t="s">
        <v>27</v>
      </c>
    </row>
    <row r="43" spans="1:15" ht="15" customHeight="1">
      <c r="E43" s="21"/>
      <c r="G43" s="42"/>
      <c r="H43" s="42"/>
      <c r="I43" s="42"/>
      <c r="J43" s="42"/>
      <c r="K43" s="42"/>
      <c r="L43" s="42"/>
      <c r="M43" s="42"/>
      <c r="N43" s="42"/>
    </row>
    <row r="44" spans="1:15" ht="29.25" customHeight="1">
      <c r="B44" s="92" t="s">
        <v>226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</row>
    <row r="45" spans="1:15" ht="15" customHeight="1">
      <c r="G45" s="42"/>
      <c r="H45" s="42"/>
      <c r="I45" s="42"/>
      <c r="J45" s="42"/>
      <c r="K45" s="42"/>
      <c r="L45" s="42"/>
      <c r="M45" s="42"/>
      <c r="N45" s="42"/>
    </row>
    <row r="46" spans="1:15" ht="15" customHeight="1">
      <c r="G46" s="42"/>
      <c r="H46" s="42"/>
      <c r="I46" s="42"/>
      <c r="J46" s="42"/>
      <c r="K46" s="42"/>
      <c r="L46" s="42"/>
      <c r="M46" s="42"/>
      <c r="N46" s="42"/>
    </row>
    <row r="47" spans="1:15">
      <c r="H47" s="46"/>
    </row>
    <row r="48" spans="1:15">
      <c r="H48" s="46"/>
      <c r="I48" s="46"/>
      <c r="J48" s="46"/>
      <c r="K48" s="46"/>
      <c r="L48" s="46"/>
      <c r="M48" s="46"/>
      <c r="N48" s="46"/>
    </row>
    <row r="49" spans="2:14" ht="15" customHeight="1">
      <c r="B49" s="2"/>
      <c r="H49" s="32"/>
    </row>
    <row r="50" spans="2:14">
      <c r="B50" s="2"/>
      <c r="H50" s="47"/>
      <c r="J50" s="47"/>
      <c r="K50" s="47"/>
      <c r="L50" s="47"/>
      <c r="M50" s="47"/>
      <c r="N50" s="47"/>
    </row>
    <row r="51" spans="2:14" ht="14.45" customHeight="1">
      <c r="B51" s="2"/>
      <c r="H51" s="47"/>
      <c r="J51" s="47"/>
      <c r="K51" s="47"/>
      <c r="L51" s="47"/>
      <c r="M51" s="47"/>
      <c r="N51" s="47"/>
    </row>
    <row r="52" spans="2:14" ht="14.45" hidden="1" customHeight="1">
      <c r="B52" s="2" t="s">
        <v>103</v>
      </c>
      <c r="H52" s="47"/>
      <c r="J52" s="47"/>
      <c r="K52" s="47"/>
      <c r="L52" s="47"/>
      <c r="M52" s="47"/>
      <c r="N52" s="47"/>
    </row>
    <row r="53" spans="2:14" hidden="1">
      <c r="B53" s="2" t="s">
        <v>0</v>
      </c>
    </row>
    <row r="54" spans="2:14" hidden="1"/>
    <row r="55" spans="2:14" hidden="1">
      <c r="H55" s="32"/>
    </row>
    <row r="56" spans="2:14" hidden="1">
      <c r="B56" s="1" t="s">
        <v>119</v>
      </c>
    </row>
    <row r="57" spans="2:14" hidden="1">
      <c r="B57" s="2" t="s">
        <v>120</v>
      </c>
    </row>
    <row r="58" spans="2:14" hidden="1">
      <c r="B58" s="2"/>
    </row>
    <row r="59" spans="2:14" hidden="1">
      <c r="B59" s="1" t="s">
        <v>114</v>
      </c>
    </row>
    <row r="60" spans="2:14" hidden="1">
      <c r="B60" s="1" t="s">
        <v>121</v>
      </c>
    </row>
    <row r="61" spans="2:14" hidden="1">
      <c r="B61" s="1" t="s">
        <v>122</v>
      </c>
    </row>
    <row r="62" spans="2:14" hidden="1">
      <c r="B62" s="1" t="s">
        <v>0</v>
      </c>
    </row>
    <row r="63" spans="2:14" hidden="1">
      <c r="B63" s="48"/>
    </row>
    <row r="64" spans="2:14" hidden="1">
      <c r="B64" s="48" t="s">
        <v>123</v>
      </c>
    </row>
    <row r="65" spans="2:14" hidden="1">
      <c r="B65" s="48" t="s">
        <v>112</v>
      </c>
    </row>
    <row r="66" spans="2:14" ht="15" hidden="1" customHeight="1">
      <c r="B66" s="1" t="s">
        <v>124</v>
      </c>
      <c r="I66" s="1" t="s">
        <v>125</v>
      </c>
    </row>
    <row r="67" spans="2:14" hidden="1">
      <c r="B67" s="1" t="s">
        <v>0</v>
      </c>
      <c r="I67" s="1" t="s">
        <v>107</v>
      </c>
    </row>
    <row r="68" spans="2:14" hidden="1">
      <c r="I68" s="1" t="s">
        <v>126</v>
      </c>
    </row>
    <row r="69" spans="2:14" hidden="1">
      <c r="I69" s="1" t="s">
        <v>0</v>
      </c>
    </row>
    <row r="70" spans="2:14" hidden="1">
      <c r="B70" s="22" t="s">
        <v>127</v>
      </c>
    </row>
    <row r="71" spans="2:14" ht="48" customHeight="1"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2:14" ht="27.6" customHeight="1">
      <c r="B72" s="49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</sheetData>
  <sheetProtection formatColumns="0" formatRows="0"/>
  <mergeCells count="23">
    <mergeCell ref="G39:O39"/>
    <mergeCell ref="G23:N23"/>
    <mergeCell ref="G25:O25"/>
    <mergeCell ref="G27:K27"/>
    <mergeCell ref="G29:I29"/>
    <mergeCell ref="G31:K31"/>
    <mergeCell ref="G33:N33"/>
    <mergeCell ref="B44:N44"/>
    <mergeCell ref="G21:N21"/>
    <mergeCell ref="A1:O1"/>
    <mergeCell ref="L2:O2"/>
    <mergeCell ref="N3:O3"/>
    <mergeCell ref="M5:O5"/>
    <mergeCell ref="K6:O6"/>
    <mergeCell ref="C7:D7"/>
    <mergeCell ref="J7:O7"/>
    <mergeCell ref="G12:O12"/>
    <mergeCell ref="G13:O13"/>
    <mergeCell ref="G15:O15"/>
    <mergeCell ref="G17:N17"/>
    <mergeCell ref="G19:O19"/>
    <mergeCell ref="G35:O35"/>
    <mergeCell ref="G37:N37"/>
  </mergeCells>
  <conditionalFormatting sqref="A1 P1:XFD3 A2:L2 A3:N3 A4:XFD22 P23:XFD23 A49:H58 J49:XFD58 A59:XFD59 A60:H63 J60:XFD63">
    <cfRule type="expression" dxfId="103" priority="12">
      <formula>CELL("protect", INDIRECT(ADDRESS(ROW(), COLUMN())))=0</formula>
    </cfRule>
  </conditionalFormatting>
  <conditionalFormatting sqref="A23:N23">
    <cfRule type="expression" dxfId="102" priority="11">
      <formula>CELL("protect", INDIRECT(ADDRESS(ROW(), COLUMN())))=0</formula>
    </cfRule>
  </conditionalFormatting>
  <conditionalFormatting sqref="A26:XFD43 A45:XFD48 A44:B44 O44:XFD44">
    <cfRule type="expression" dxfId="101" priority="10">
      <formula>CELL("protect", INDIRECT(ADDRESS(ROW(), COLUMN())))=0</formula>
    </cfRule>
  </conditionalFormatting>
  <conditionalFormatting sqref="A64:XFD1048576">
    <cfRule type="expression" dxfId="100" priority="9">
      <formula>CELL("protect", INDIRECT(ADDRESS(ROW(), COLUMN())))=0</formula>
    </cfRule>
  </conditionalFormatting>
  <conditionalFormatting sqref="G17:N17">
    <cfRule type="expression" dxfId="99" priority="8">
      <formula>CELL("protect", INDIRECT(ADDRESS(ROW(), COLUMN())))=0</formula>
    </cfRule>
  </conditionalFormatting>
  <conditionalFormatting sqref="G21:N21">
    <cfRule type="expression" dxfId="98" priority="7">
      <formula>CELL("protect", INDIRECT(ADDRESS(ROW(), COLUMN())))=0</formula>
    </cfRule>
  </conditionalFormatting>
  <conditionalFormatting sqref="G37:N37">
    <cfRule type="expression" dxfId="97" priority="6">
      <formula>CELL("protect", INDIRECT(ADDRESS(ROW(), COLUMN())))=0</formula>
    </cfRule>
  </conditionalFormatting>
  <conditionalFormatting sqref="G18:O19">
    <cfRule type="expression" dxfId="96" priority="5">
      <formula>CELL("protect", INDIRECT(ADDRESS(ROW(), COLUMN())))=0</formula>
    </cfRule>
  </conditionalFormatting>
  <conditionalFormatting sqref="G24:O25">
    <cfRule type="expression" dxfId="95" priority="4">
      <formula>CELL("protect", INDIRECT(ADDRESS(ROW(), COLUMN())))=0</formula>
    </cfRule>
  </conditionalFormatting>
  <conditionalFormatting sqref="G33:O35">
    <cfRule type="expression" dxfId="94" priority="3">
      <formula>CELL("protect", INDIRECT(ADDRESS(ROW(), COLUMN())))=0</formula>
    </cfRule>
  </conditionalFormatting>
  <conditionalFormatting sqref="G38:O39">
    <cfRule type="expression" dxfId="93" priority="2">
      <formula>CELL("protect", INDIRECT(ADDRESS(ROW(), COLUMN())))=0</formula>
    </cfRule>
  </conditionalFormatting>
  <conditionalFormatting sqref="I56:I64">
    <cfRule type="expression" dxfId="92" priority="1">
      <formula>CELL("protect", INDIRECT(ADDRESS(ROW(), COLUMN())))=0</formula>
    </cfRule>
  </conditionalFormatting>
  <dataValidations disablePrompts="1" count="4">
    <dataValidation type="list" allowBlank="1" showInputMessage="1" showErrorMessage="1" sqref="G23:N23" xr:uid="{00000000-0002-0000-0000-000000000000}">
      <formula1>$I$66:$I$69</formula1>
    </dataValidation>
    <dataValidation type="list" allowBlank="1" showInputMessage="1" showErrorMessage="1" sqref="G33:N33" xr:uid="{00000000-0002-0000-0000-000001000000}">
      <formula1>$B$64:$B$67</formula1>
    </dataValidation>
    <dataValidation type="list" allowBlank="1" showInputMessage="1" showErrorMessage="1" sqref="G37:N37" xr:uid="{00000000-0002-0000-0000-000002000000}">
      <formula1>$B$59:$B$62</formula1>
    </dataValidation>
    <dataValidation type="list" allowBlank="1" showInputMessage="1" showErrorMessage="1" sqref="G17:N17" xr:uid="{00000000-0002-0000-0000-000003000000}">
      <formula1>$B$52:$B$53</formula1>
    </dataValidation>
  </dataValidations>
  <pageMargins left="0.70866141732283505" right="0.70866141732283505" top="0.74803149606299202" bottom="0.74803149606299202" header="0.31496062992126" footer="0.31496062992126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F881-BCD4-4B72-9B10-9F4A6E48A741}">
  <dimension ref="A1:O72"/>
  <sheetViews>
    <sheetView tabSelected="1" view="pageBreakPreview" zoomScale="85" zoomScaleNormal="85" zoomScaleSheetLayoutView="85" workbookViewId="0">
      <selection activeCell="E29" sqref="E29"/>
    </sheetView>
  </sheetViews>
  <sheetFormatPr defaultColWidth="8.85546875" defaultRowHeight="12.75"/>
  <cols>
    <col min="1" max="1" width="2.28515625" style="1" customWidth="1"/>
    <col min="2" max="4" width="8.85546875" style="1"/>
    <col min="5" max="5" width="24.140625" style="1" customWidth="1"/>
    <col min="6" max="6" width="1.42578125" style="1" customWidth="1"/>
    <col min="7" max="7" width="2.85546875" style="1" customWidth="1"/>
    <col min="8" max="8" width="1.140625" style="1" customWidth="1"/>
    <col min="9" max="9" width="8.85546875" style="1"/>
    <col min="10" max="10" width="2.85546875" style="1" customWidth="1"/>
    <col min="11" max="11" width="9.140625" style="1" customWidth="1"/>
    <col min="12" max="12" width="1.7109375" style="1" customWidth="1"/>
    <col min="13" max="13" width="1.140625" style="1" customWidth="1"/>
    <col min="14" max="14" width="8.85546875" style="1"/>
    <col min="15" max="15" width="4.140625" style="1" customWidth="1"/>
    <col min="16" max="16384" width="8.85546875" style="1"/>
  </cols>
  <sheetData>
    <row r="1" spans="1:15" ht="34.9" customHeight="1">
      <c r="A1" s="97" t="s">
        <v>95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ht="13.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98" t="s">
        <v>96</v>
      </c>
      <c r="M2" s="98"/>
      <c r="N2" s="98"/>
      <c r="O2" s="98"/>
    </row>
    <row r="3" spans="1:1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98" t="s">
        <v>97</v>
      </c>
      <c r="O3" s="98"/>
    </row>
    <row r="4" spans="1:15" ht="7.9" customHeight="1"/>
    <row r="5" spans="1:15" ht="15" thickBot="1">
      <c r="A5" s="39" t="s">
        <v>86</v>
      </c>
      <c r="G5" s="22"/>
      <c r="M5" s="99"/>
      <c r="N5" s="99"/>
      <c r="O5" s="99"/>
    </row>
    <row r="6" spans="1:15" ht="15" thickBot="1">
      <c r="A6" s="39" t="s">
        <v>85</v>
      </c>
      <c r="E6" s="27" t="s">
        <v>189</v>
      </c>
      <c r="G6" s="39" t="s">
        <v>83</v>
      </c>
      <c r="K6" s="115" t="s">
        <v>98</v>
      </c>
      <c r="L6" s="116"/>
      <c r="M6" s="116"/>
      <c r="N6" s="116"/>
      <c r="O6" s="117"/>
    </row>
    <row r="7" spans="1:15" ht="14.45" customHeight="1" thickBot="1">
      <c r="A7" s="39" t="s">
        <v>81</v>
      </c>
      <c r="C7" s="112" t="s">
        <v>80</v>
      </c>
      <c r="D7" s="113"/>
      <c r="E7" s="114"/>
      <c r="G7" s="39" t="s">
        <v>79</v>
      </c>
      <c r="J7" s="103" t="s">
        <v>99</v>
      </c>
      <c r="K7" s="108"/>
      <c r="L7" s="108"/>
      <c r="M7" s="108"/>
      <c r="N7" s="108"/>
      <c r="O7" s="104"/>
    </row>
    <row r="10" spans="1:15" ht="15.75">
      <c r="A10" s="40" t="s">
        <v>77</v>
      </c>
      <c r="B10" s="40" t="s">
        <v>76</v>
      </c>
      <c r="C10" s="40"/>
      <c r="D10" s="40"/>
      <c r="E10" s="40"/>
    </row>
    <row r="11" spans="1:15" ht="16.5" thickBot="1">
      <c r="A11" s="40"/>
      <c r="B11" s="41" t="s">
        <v>100</v>
      </c>
      <c r="C11" s="40"/>
      <c r="D11" s="40"/>
      <c r="E11" s="40"/>
    </row>
    <row r="12" spans="1:15" ht="15" customHeight="1" thickBot="1">
      <c r="A12" s="40"/>
      <c r="B12" s="41"/>
      <c r="C12" s="41" t="s">
        <v>75</v>
      </c>
      <c r="D12" s="40"/>
      <c r="E12" s="40"/>
      <c r="G12" s="103" t="s">
        <v>236</v>
      </c>
      <c r="H12" s="108"/>
      <c r="I12" s="108"/>
      <c r="J12" s="108"/>
      <c r="K12" s="108"/>
      <c r="L12" s="108"/>
      <c r="M12" s="108"/>
      <c r="N12" s="108"/>
      <c r="O12" s="104"/>
    </row>
    <row r="13" spans="1:15" ht="16.5" thickBot="1">
      <c r="A13" s="40"/>
      <c r="B13" s="41"/>
      <c r="C13" s="41" t="s">
        <v>73</v>
      </c>
      <c r="D13" s="40"/>
      <c r="E13" s="40"/>
      <c r="G13" s="103" t="s">
        <v>102</v>
      </c>
      <c r="H13" s="108"/>
      <c r="I13" s="108"/>
      <c r="J13" s="108"/>
      <c r="K13" s="108"/>
      <c r="L13" s="108"/>
      <c r="M13" s="108"/>
      <c r="N13" s="108"/>
      <c r="O13" s="104"/>
    </row>
    <row r="14" spans="1:15" ht="6" customHeight="1" thickBot="1">
      <c r="A14" s="40"/>
      <c r="B14" s="41"/>
      <c r="C14" s="40"/>
      <c r="D14" s="40"/>
      <c r="E14" s="40"/>
      <c r="G14" s="42"/>
      <c r="H14" s="42"/>
      <c r="I14" s="42"/>
      <c r="J14" s="42"/>
      <c r="K14" s="42"/>
      <c r="L14" s="42"/>
      <c r="M14" s="42"/>
      <c r="N14" s="42"/>
    </row>
    <row r="15" spans="1:15" ht="16.5" thickBot="1">
      <c r="A15" s="40" t="s">
        <v>71</v>
      </c>
      <c r="B15" s="40" t="s">
        <v>70</v>
      </c>
      <c r="C15" s="40"/>
      <c r="D15" s="40"/>
      <c r="E15" s="40"/>
      <c r="G15" s="103" t="s">
        <v>235</v>
      </c>
      <c r="H15" s="108"/>
      <c r="I15" s="108"/>
      <c r="J15" s="108"/>
      <c r="K15" s="108"/>
      <c r="L15" s="108"/>
      <c r="M15" s="108"/>
      <c r="N15" s="108"/>
      <c r="O15" s="104"/>
    </row>
    <row r="16" spans="1:15" ht="7.15" customHeight="1" thickBot="1">
      <c r="A16" s="40"/>
      <c r="B16" s="40"/>
      <c r="C16" s="40"/>
      <c r="D16" s="40"/>
      <c r="E16" s="40"/>
    </row>
    <row r="17" spans="1:15" ht="17.45" customHeight="1" thickBot="1">
      <c r="A17" s="40" t="s">
        <v>68</v>
      </c>
      <c r="B17" s="40" t="s">
        <v>67</v>
      </c>
      <c r="C17" s="40"/>
      <c r="D17" s="40"/>
      <c r="E17" s="40"/>
      <c r="G17" s="109" t="s">
        <v>103</v>
      </c>
      <c r="H17" s="110"/>
      <c r="I17" s="110"/>
      <c r="J17" s="110"/>
      <c r="K17" s="110"/>
      <c r="L17" s="110"/>
      <c r="M17" s="110"/>
      <c r="N17" s="111"/>
    </row>
    <row r="18" spans="1:15" ht="13.9" customHeight="1" thickBot="1">
      <c r="A18" s="40"/>
      <c r="B18" s="40"/>
      <c r="C18" s="40"/>
      <c r="D18" s="40"/>
      <c r="E18" s="40"/>
      <c r="G18" s="1" t="s">
        <v>66</v>
      </c>
      <c r="I18" s="2"/>
      <c r="J18" s="2"/>
      <c r="K18" s="2"/>
      <c r="L18" s="2"/>
      <c r="M18" s="2"/>
      <c r="N18" s="2"/>
      <c r="O18" s="2"/>
    </row>
    <row r="19" spans="1:15" ht="61.15" customHeight="1" thickBot="1">
      <c r="A19" s="40"/>
      <c r="B19" s="40"/>
      <c r="C19" s="40"/>
      <c r="D19" s="40"/>
      <c r="E19" s="40"/>
      <c r="G19" s="109"/>
      <c r="H19" s="110"/>
      <c r="I19" s="110"/>
      <c r="J19" s="110"/>
      <c r="K19" s="110"/>
      <c r="L19" s="110"/>
      <c r="M19" s="110"/>
      <c r="N19" s="110"/>
      <c r="O19" s="111"/>
    </row>
    <row r="20" spans="1:15" ht="6" customHeight="1" thickBot="1">
      <c r="A20" s="40"/>
      <c r="B20" s="40"/>
      <c r="C20" s="40"/>
      <c r="D20" s="40"/>
      <c r="E20" s="40"/>
    </row>
    <row r="21" spans="1:15" ht="15" customHeight="1" thickBot="1">
      <c r="A21" s="40" t="s">
        <v>65</v>
      </c>
      <c r="B21" s="40" t="s">
        <v>104</v>
      </c>
      <c r="C21" s="40"/>
      <c r="D21" s="40"/>
      <c r="E21" s="40"/>
      <c r="G21" s="109" t="s">
        <v>234</v>
      </c>
      <c r="H21" s="110"/>
      <c r="I21" s="110"/>
      <c r="J21" s="110"/>
      <c r="K21" s="110"/>
      <c r="L21" s="110"/>
      <c r="M21" s="110"/>
      <c r="N21" s="111"/>
    </row>
    <row r="22" spans="1:15" ht="7.15" customHeight="1" thickBot="1">
      <c r="A22" s="40"/>
      <c r="B22" s="40"/>
      <c r="C22" s="40"/>
      <c r="D22" s="40"/>
      <c r="E22" s="40"/>
      <c r="G22" s="42"/>
      <c r="H22" s="42"/>
      <c r="I22" s="42"/>
      <c r="J22" s="42"/>
      <c r="K22" s="42"/>
      <c r="L22" s="42"/>
      <c r="M22" s="42"/>
      <c r="N22" s="42"/>
    </row>
    <row r="23" spans="1:15" ht="15" customHeight="1" thickBot="1">
      <c r="A23" s="40" t="s">
        <v>63</v>
      </c>
      <c r="B23" s="40" t="s">
        <v>106</v>
      </c>
      <c r="C23" s="40"/>
      <c r="D23" s="40"/>
      <c r="E23" s="40"/>
      <c r="G23" s="109" t="s">
        <v>107</v>
      </c>
      <c r="H23" s="110"/>
      <c r="I23" s="110"/>
      <c r="J23" s="110"/>
      <c r="K23" s="110"/>
      <c r="L23" s="110"/>
      <c r="M23" s="110"/>
      <c r="N23" s="111"/>
      <c r="O23" s="1" t="s">
        <v>24</v>
      </c>
    </row>
    <row r="24" spans="1:15" customFormat="1" ht="15" customHeight="1" thickBot="1">
      <c r="A24" s="40"/>
      <c r="B24" s="40"/>
      <c r="C24" s="40"/>
      <c r="D24" s="40"/>
      <c r="E24" s="40"/>
      <c r="F24" s="1"/>
      <c r="G24" s="1" t="s">
        <v>66</v>
      </c>
      <c r="H24" s="1"/>
      <c r="I24" s="2"/>
      <c r="J24" s="2"/>
      <c r="K24" s="2"/>
      <c r="L24" s="2"/>
      <c r="M24" s="2"/>
      <c r="N24" s="2"/>
      <c r="O24" s="2"/>
    </row>
    <row r="25" spans="1:15" customFormat="1" ht="54" customHeight="1" thickBot="1">
      <c r="A25" s="40"/>
      <c r="B25" s="40"/>
      <c r="C25" s="40"/>
      <c r="D25" s="40"/>
      <c r="E25" s="40"/>
      <c r="F25" s="1"/>
      <c r="G25" s="109"/>
      <c r="H25" s="110"/>
      <c r="I25" s="110"/>
      <c r="J25" s="110"/>
      <c r="K25" s="110"/>
      <c r="L25" s="110"/>
      <c r="M25" s="110"/>
      <c r="N25" s="110"/>
      <c r="O25" s="111"/>
    </row>
    <row r="26" spans="1:15" ht="5.45" customHeight="1" thickBot="1">
      <c r="A26" s="40"/>
      <c r="B26" s="40"/>
      <c r="C26" s="40"/>
      <c r="D26" s="40"/>
      <c r="E26" s="40"/>
      <c r="G26" s="42"/>
      <c r="H26" s="42"/>
      <c r="I26" s="42"/>
      <c r="J26" s="42"/>
      <c r="K26" s="42"/>
      <c r="L26" s="42"/>
      <c r="M26" s="42"/>
      <c r="N26" s="42"/>
    </row>
    <row r="27" spans="1:15" ht="15" customHeight="1" thickBot="1">
      <c r="A27" s="40" t="s">
        <v>55</v>
      </c>
      <c r="B27" s="40" t="s">
        <v>25</v>
      </c>
      <c r="C27" s="40"/>
      <c r="D27" s="40"/>
      <c r="E27" s="40"/>
      <c r="G27" s="103">
        <v>150</v>
      </c>
      <c r="H27" s="108"/>
      <c r="I27" s="108"/>
      <c r="J27" s="108"/>
      <c r="K27" s="104"/>
      <c r="L27" s="1" t="s">
        <v>24</v>
      </c>
    </row>
    <row r="28" spans="1:15" ht="7.15" customHeight="1" thickBot="1">
      <c r="A28" s="40"/>
      <c r="B28" s="40"/>
      <c r="C28" s="40"/>
      <c r="D28" s="40"/>
      <c r="E28" s="40"/>
      <c r="G28" s="42"/>
      <c r="H28" s="42"/>
      <c r="I28" s="42"/>
      <c r="J28" s="42"/>
      <c r="K28" s="42"/>
      <c r="L28" s="42"/>
      <c r="M28" s="42"/>
    </row>
    <row r="29" spans="1:15" ht="15" customHeight="1" thickBot="1">
      <c r="A29" s="40" t="s">
        <v>53</v>
      </c>
      <c r="B29" s="40" t="s">
        <v>108</v>
      </c>
      <c r="C29" s="40"/>
      <c r="D29" s="40"/>
      <c r="E29" s="40"/>
      <c r="G29" s="103">
        <v>65</v>
      </c>
      <c r="H29" s="108"/>
      <c r="I29" s="104"/>
      <c r="J29" s="42" t="s">
        <v>24</v>
      </c>
      <c r="K29" s="44">
        <v>1</v>
      </c>
      <c r="L29" s="2" t="s">
        <v>109</v>
      </c>
      <c r="M29" s="2"/>
    </row>
    <row r="30" spans="1:15" ht="6" customHeight="1" thickBot="1">
      <c r="A30" s="40"/>
      <c r="B30" s="40"/>
      <c r="C30" s="40"/>
      <c r="D30" s="40"/>
      <c r="E30" s="40"/>
      <c r="G30" s="42"/>
      <c r="H30" s="42"/>
      <c r="I30" s="42"/>
      <c r="J30" s="42"/>
      <c r="K30" s="42"/>
      <c r="L30" s="42"/>
      <c r="M30" s="42"/>
    </row>
    <row r="31" spans="1:15" ht="15" customHeight="1" thickBot="1">
      <c r="A31" s="40" t="s">
        <v>51</v>
      </c>
      <c r="B31" s="40" t="s">
        <v>110</v>
      </c>
      <c r="C31" s="40"/>
      <c r="D31" s="40"/>
      <c r="E31" s="40"/>
      <c r="G31" s="103">
        <v>21.5</v>
      </c>
      <c r="H31" s="108"/>
      <c r="I31" s="108"/>
      <c r="J31" s="108"/>
      <c r="K31" s="104"/>
      <c r="L31" s="2" t="s">
        <v>24</v>
      </c>
      <c r="M31" s="2"/>
    </row>
    <row r="32" spans="1:15" ht="7.15" customHeight="1" thickBot="1">
      <c r="A32" s="40"/>
      <c r="B32" s="40"/>
      <c r="C32" s="40"/>
      <c r="D32" s="40"/>
      <c r="E32" s="40"/>
      <c r="G32" s="42"/>
      <c r="H32" s="42"/>
      <c r="I32" s="42"/>
      <c r="J32" s="42"/>
      <c r="K32" s="42"/>
      <c r="L32" s="42"/>
      <c r="M32" s="42"/>
      <c r="N32" s="42"/>
    </row>
    <row r="33" spans="1:15" ht="15" customHeight="1" thickBot="1">
      <c r="A33" s="40" t="s">
        <v>48</v>
      </c>
      <c r="B33" s="40" t="s">
        <v>111</v>
      </c>
      <c r="C33" s="40"/>
      <c r="D33" s="40"/>
      <c r="E33" s="40"/>
      <c r="G33" s="109" t="s">
        <v>112</v>
      </c>
      <c r="H33" s="110"/>
      <c r="I33" s="110"/>
      <c r="J33" s="110"/>
      <c r="K33" s="110"/>
      <c r="L33" s="110"/>
      <c r="M33" s="110"/>
      <c r="N33" s="111"/>
    </row>
    <row r="34" spans="1:15" ht="15" customHeight="1" thickBot="1">
      <c r="A34" s="40"/>
      <c r="B34" s="40"/>
      <c r="C34" s="40"/>
      <c r="D34" s="40"/>
      <c r="E34" s="40"/>
      <c r="G34" s="1" t="s">
        <v>66</v>
      </c>
      <c r="I34" s="2"/>
      <c r="J34" s="2"/>
      <c r="K34" s="2"/>
      <c r="L34" s="2"/>
      <c r="M34" s="2"/>
      <c r="N34" s="2"/>
      <c r="O34" s="2"/>
    </row>
    <row r="35" spans="1:15" ht="50.45" customHeight="1" thickBot="1">
      <c r="A35" s="40"/>
      <c r="B35" s="40"/>
      <c r="C35" s="40"/>
      <c r="D35" s="40"/>
      <c r="E35" s="40"/>
      <c r="G35" s="109"/>
      <c r="H35" s="110"/>
      <c r="I35" s="110"/>
      <c r="J35" s="110"/>
      <c r="K35" s="110"/>
      <c r="L35" s="110"/>
      <c r="M35" s="110"/>
      <c r="N35" s="110"/>
      <c r="O35" s="111"/>
    </row>
    <row r="36" spans="1:15" ht="7.15" customHeight="1" thickBot="1">
      <c r="A36" s="40"/>
      <c r="B36" s="40"/>
      <c r="C36" s="40"/>
      <c r="D36" s="40"/>
      <c r="E36" s="40"/>
      <c r="G36" s="42"/>
      <c r="H36" s="42"/>
      <c r="I36" s="42"/>
      <c r="J36" s="42"/>
      <c r="K36" s="42"/>
      <c r="L36" s="42"/>
      <c r="M36" s="42"/>
      <c r="N36" s="42"/>
    </row>
    <row r="37" spans="1:15" ht="15" customHeight="1" thickBot="1">
      <c r="A37" s="40" t="s">
        <v>45</v>
      </c>
      <c r="B37" s="40" t="s">
        <v>113</v>
      </c>
      <c r="C37" s="40"/>
      <c r="D37" s="40"/>
      <c r="E37" s="40"/>
      <c r="G37" s="109" t="s">
        <v>114</v>
      </c>
      <c r="H37" s="110"/>
      <c r="I37" s="110"/>
      <c r="J37" s="110"/>
      <c r="K37" s="110"/>
      <c r="L37" s="110"/>
      <c r="M37" s="110"/>
      <c r="N37" s="111"/>
    </row>
    <row r="38" spans="1:15" ht="15" customHeight="1" thickBot="1">
      <c r="A38" s="40"/>
      <c r="B38" s="40"/>
      <c r="C38" s="40"/>
      <c r="D38" s="40"/>
      <c r="E38" s="40"/>
      <c r="G38" s="1" t="s">
        <v>66</v>
      </c>
      <c r="I38" s="2"/>
      <c r="J38" s="2"/>
      <c r="K38" s="2"/>
      <c r="L38" s="2"/>
      <c r="M38" s="2"/>
      <c r="N38" s="2"/>
      <c r="O38" s="2"/>
    </row>
    <row r="39" spans="1:15" ht="53.45" customHeight="1" thickBot="1">
      <c r="A39" s="40"/>
      <c r="B39" s="40"/>
      <c r="C39" s="40"/>
      <c r="D39" s="40"/>
      <c r="E39" s="40"/>
      <c r="G39" s="109"/>
      <c r="H39" s="110"/>
      <c r="I39" s="110"/>
      <c r="J39" s="110"/>
      <c r="K39" s="110"/>
      <c r="L39" s="110"/>
      <c r="M39" s="110"/>
      <c r="N39" s="110"/>
      <c r="O39" s="111"/>
    </row>
    <row r="40" spans="1:15" ht="15" customHeight="1" thickBot="1">
      <c r="A40" s="40" t="s">
        <v>42</v>
      </c>
      <c r="B40" s="40" t="s">
        <v>115</v>
      </c>
      <c r="C40" s="40"/>
      <c r="D40" s="40"/>
      <c r="E40" s="43"/>
      <c r="G40" s="42"/>
      <c r="H40" s="42"/>
      <c r="I40" s="42"/>
      <c r="J40" s="42"/>
      <c r="K40" s="42"/>
      <c r="L40" s="42"/>
      <c r="M40" s="42"/>
      <c r="N40" s="42"/>
    </row>
    <row r="41" spans="1:15" ht="15" customHeight="1" thickBot="1">
      <c r="A41" s="40"/>
      <c r="B41" s="40"/>
      <c r="C41" s="41" t="s">
        <v>116</v>
      </c>
      <c r="D41" s="40"/>
      <c r="E41" s="40"/>
      <c r="G41" s="1" t="s">
        <v>29</v>
      </c>
      <c r="I41" s="9">
        <v>95</v>
      </c>
      <c r="J41" s="3" t="s">
        <v>61</v>
      </c>
      <c r="K41" s="5"/>
      <c r="L41" s="90" t="s">
        <v>28</v>
      </c>
      <c r="M41" s="5"/>
      <c r="N41" s="9">
        <v>185</v>
      </c>
      <c r="O41" s="3" t="s">
        <v>61</v>
      </c>
    </row>
    <row r="42" spans="1:15" ht="15" customHeight="1" thickBot="1">
      <c r="A42" s="40"/>
      <c r="B42" s="40"/>
      <c r="C42" s="41" t="s">
        <v>118</v>
      </c>
      <c r="D42" s="40"/>
      <c r="E42" s="40"/>
      <c r="G42" s="1" t="s">
        <v>29</v>
      </c>
      <c r="I42" s="91">
        <v>21.3</v>
      </c>
      <c r="J42" s="1" t="s">
        <v>27</v>
      </c>
      <c r="K42" s="42"/>
      <c r="L42" s="89" t="s">
        <v>28</v>
      </c>
      <c r="M42" s="42"/>
      <c r="N42" s="27">
        <v>35</v>
      </c>
      <c r="O42" s="1" t="s">
        <v>27</v>
      </c>
    </row>
    <row r="43" spans="1:15" ht="15" customHeight="1">
      <c r="G43" s="42"/>
      <c r="H43" s="42"/>
      <c r="I43" s="42"/>
      <c r="J43" s="42"/>
      <c r="K43" s="42"/>
      <c r="L43" s="42"/>
      <c r="M43" s="42"/>
      <c r="N43" s="42"/>
    </row>
    <row r="44" spans="1:15" ht="31.5" customHeight="1">
      <c r="A44" s="118" t="s">
        <v>233</v>
      </c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</row>
    <row r="45" spans="1:15" ht="15" customHeight="1">
      <c r="G45" s="42"/>
      <c r="H45" s="42"/>
      <c r="I45" s="42"/>
      <c r="J45" s="42"/>
      <c r="K45" s="42"/>
      <c r="L45" s="42"/>
      <c r="M45" s="42"/>
      <c r="N45" s="42"/>
    </row>
    <row r="46" spans="1:15" ht="15" customHeight="1">
      <c r="G46" s="42"/>
      <c r="H46" s="42"/>
      <c r="I46" s="42"/>
      <c r="J46" s="42"/>
      <c r="K46" s="42"/>
      <c r="L46" s="42"/>
      <c r="M46" s="42"/>
      <c r="N46" s="42"/>
    </row>
    <row r="47" spans="1:15">
      <c r="H47" s="46"/>
    </row>
    <row r="48" spans="1:15">
      <c r="H48" s="46"/>
      <c r="I48" s="46"/>
      <c r="J48" s="46"/>
      <c r="K48" s="46"/>
      <c r="L48" s="46"/>
      <c r="M48" s="46"/>
      <c r="N48" s="46"/>
    </row>
    <row r="49" spans="2:14" ht="15" customHeight="1">
      <c r="B49" s="2"/>
      <c r="H49" s="89"/>
    </row>
    <row r="50" spans="2:14">
      <c r="B50" s="2"/>
      <c r="H50" s="47"/>
      <c r="J50" s="47"/>
      <c r="K50" s="47"/>
      <c r="L50" s="47"/>
      <c r="M50" s="47"/>
      <c r="N50" s="47"/>
    </row>
    <row r="51" spans="2:14" ht="14.45" customHeight="1">
      <c r="B51" s="2"/>
      <c r="H51" s="47"/>
      <c r="J51" s="47"/>
      <c r="K51" s="47"/>
      <c r="L51" s="47"/>
      <c r="M51" s="47"/>
      <c r="N51" s="47"/>
    </row>
    <row r="52" spans="2:14" ht="14.45" hidden="1" customHeight="1">
      <c r="B52" s="2" t="s">
        <v>103</v>
      </c>
      <c r="H52" s="47"/>
      <c r="J52" s="47"/>
      <c r="K52" s="47"/>
      <c r="L52" s="47"/>
      <c r="M52" s="47"/>
      <c r="N52" s="47"/>
    </row>
    <row r="53" spans="2:14" hidden="1">
      <c r="B53" s="2" t="s">
        <v>0</v>
      </c>
    </row>
    <row r="54" spans="2:14" hidden="1"/>
    <row r="55" spans="2:14" hidden="1">
      <c r="H55" s="89"/>
    </row>
    <row r="56" spans="2:14" hidden="1">
      <c r="B56" s="1" t="s">
        <v>119</v>
      </c>
    </row>
    <row r="57" spans="2:14" hidden="1">
      <c r="B57" s="2" t="s">
        <v>120</v>
      </c>
    </row>
    <row r="58" spans="2:14" hidden="1">
      <c r="B58" s="2"/>
    </row>
    <row r="59" spans="2:14" hidden="1">
      <c r="B59" s="1" t="s">
        <v>114</v>
      </c>
    </row>
    <row r="60" spans="2:14" hidden="1">
      <c r="B60" s="1" t="s">
        <v>121</v>
      </c>
    </row>
    <row r="61" spans="2:14" hidden="1">
      <c r="B61" s="1" t="s">
        <v>122</v>
      </c>
    </row>
    <row r="62" spans="2:14" hidden="1">
      <c r="B62" s="1" t="s">
        <v>0</v>
      </c>
    </row>
    <row r="63" spans="2:14" hidden="1">
      <c r="B63" s="48"/>
    </row>
    <row r="64" spans="2:14" hidden="1">
      <c r="B64" s="48" t="s">
        <v>123</v>
      </c>
    </row>
    <row r="65" spans="2:14" hidden="1">
      <c r="B65" s="48" t="s">
        <v>112</v>
      </c>
    </row>
    <row r="66" spans="2:14" ht="15" hidden="1" customHeight="1">
      <c r="B66" s="1" t="s">
        <v>124</v>
      </c>
      <c r="I66" s="1" t="s">
        <v>125</v>
      </c>
    </row>
    <row r="67" spans="2:14" hidden="1">
      <c r="B67" s="1" t="s">
        <v>0</v>
      </c>
      <c r="I67" s="1" t="s">
        <v>107</v>
      </c>
    </row>
    <row r="68" spans="2:14" hidden="1">
      <c r="I68" s="1" t="s">
        <v>126</v>
      </c>
    </row>
    <row r="69" spans="2:14" hidden="1">
      <c r="I69" s="1" t="s">
        <v>0</v>
      </c>
    </row>
    <row r="70" spans="2:14" hidden="1">
      <c r="B70" s="22" t="s">
        <v>127</v>
      </c>
    </row>
    <row r="71" spans="2:14" ht="48" customHeight="1"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</row>
    <row r="72" spans="2:14" ht="27.6" customHeight="1">
      <c r="B72" s="49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</row>
  </sheetData>
  <mergeCells count="23">
    <mergeCell ref="G13:O13"/>
    <mergeCell ref="G23:N23"/>
    <mergeCell ref="G27:K27"/>
    <mergeCell ref="G39:O39"/>
    <mergeCell ref="G33:N33"/>
    <mergeCell ref="G35:O35"/>
    <mergeCell ref="G25:O25"/>
    <mergeCell ref="A44:O44"/>
    <mergeCell ref="G37:N37"/>
    <mergeCell ref="G15:O15"/>
    <mergeCell ref="G29:I29"/>
    <mergeCell ref="G31:K31"/>
    <mergeCell ref="G19:O19"/>
    <mergeCell ref="G17:N17"/>
    <mergeCell ref="G21:N21"/>
    <mergeCell ref="N3:O3"/>
    <mergeCell ref="A1:O1"/>
    <mergeCell ref="L2:O2"/>
    <mergeCell ref="G12:O12"/>
    <mergeCell ref="C7:E7"/>
    <mergeCell ref="M5:O5"/>
    <mergeCell ref="K6:O6"/>
    <mergeCell ref="J7:O7"/>
  </mergeCells>
  <conditionalFormatting sqref="A1 P1:XFD3 A2:L2 A3:N3 A4:XFD6 A7:C7 F7:XFD7 A8:XFD22 P23:XFD23 A26:XFD43 A44 P44:XFD44 A45:XFD48 A49:H58 J49:XFD58 A59:XFD59 A60:H63 J60:XFD63">
    <cfRule type="expression" dxfId="91" priority="11">
      <formula>CELL("protect", INDIRECT(ADDRESS(ROW(), COLUMN())))=0</formula>
    </cfRule>
  </conditionalFormatting>
  <conditionalFormatting sqref="A23:N23">
    <cfRule type="expression" dxfId="90" priority="2">
      <formula>CELL("protect", INDIRECT(ADDRESS(ROW(), COLUMN())))=0</formula>
    </cfRule>
  </conditionalFormatting>
  <conditionalFormatting sqref="A64:XFD1048576">
    <cfRule type="expression" dxfId="89" priority="3">
      <formula>CELL("protect", INDIRECT(ADDRESS(ROW(), COLUMN())))=0</formula>
    </cfRule>
  </conditionalFormatting>
  <conditionalFormatting sqref="G17:N17">
    <cfRule type="expression" dxfId="88" priority="9">
      <formula>CELL("protect", INDIRECT(ADDRESS(ROW(), COLUMN())))=0</formula>
    </cfRule>
  </conditionalFormatting>
  <conditionalFormatting sqref="G21:N21">
    <cfRule type="expression" dxfId="87" priority="8">
      <formula>CELL("protect", INDIRECT(ADDRESS(ROW(), COLUMN())))=0</formula>
    </cfRule>
  </conditionalFormatting>
  <conditionalFormatting sqref="G37:N37">
    <cfRule type="expression" dxfId="86" priority="7">
      <formula>CELL("protect", INDIRECT(ADDRESS(ROW(), COLUMN())))=0</formula>
    </cfRule>
  </conditionalFormatting>
  <conditionalFormatting sqref="G18:O19">
    <cfRule type="expression" dxfId="85" priority="10">
      <formula>CELL("protect", INDIRECT(ADDRESS(ROW(), COLUMN())))=0</formula>
    </cfRule>
  </conditionalFormatting>
  <conditionalFormatting sqref="G24:O25">
    <cfRule type="expression" dxfId="84" priority="1">
      <formula>CELL("protect", INDIRECT(ADDRESS(ROW(), COLUMN())))=0</formula>
    </cfRule>
  </conditionalFormatting>
  <conditionalFormatting sqref="G33:O35">
    <cfRule type="expression" dxfId="83" priority="5">
      <formula>CELL("protect", INDIRECT(ADDRESS(ROW(), COLUMN())))=0</formula>
    </cfRule>
  </conditionalFormatting>
  <conditionalFormatting sqref="G38:O39">
    <cfRule type="expression" dxfId="82" priority="6">
      <formula>CELL("protect", INDIRECT(ADDRESS(ROW(), COLUMN())))=0</formula>
    </cfRule>
  </conditionalFormatting>
  <conditionalFormatting sqref="I56:I64">
    <cfRule type="expression" dxfId="81" priority="4">
      <formula>CELL("protect", INDIRECT(ADDRESS(ROW(), COLUMN())))=0</formula>
    </cfRule>
  </conditionalFormatting>
  <dataValidations count="4">
    <dataValidation type="list" allowBlank="1" showInputMessage="1" showErrorMessage="1" sqref="G23:N23" xr:uid="{00000000-0002-0000-0000-000003000000}">
      <formula1>$I$66:$I$69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17:N17" xr:uid="{00000000-0002-0000-0000-000000000000}">
      <formula1>$B$52:$B$53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topLeftCell="A16" zoomScaleSheetLayoutView="85" workbookViewId="0">
      <selection activeCell="AE16" sqref="AE16"/>
    </sheetView>
  </sheetViews>
  <sheetFormatPr defaultColWidth="8.85546875" defaultRowHeight="12.75"/>
  <cols>
    <col min="1" max="1" width="2.42578125" style="1" customWidth="1"/>
    <col min="2" max="4" width="8.85546875" style="1"/>
    <col min="5" max="5" width="13.42578125" style="1" customWidth="1"/>
    <col min="6" max="6" width="3" style="1" customWidth="1"/>
    <col min="7" max="7" width="2.85546875" style="1" customWidth="1"/>
    <col min="8" max="8" width="1.140625" style="1" customWidth="1"/>
    <col min="9" max="9" width="11" style="1" customWidth="1"/>
    <col min="10" max="10" width="2.85546875" style="1" customWidth="1"/>
    <col min="11" max="11" width="7.5703125" style="1" customWidth="1"/>
    <col min="12" max="12" width="1.85546875" style="1" customWidth="1"/>
    <col min="13" max="13" width="2.42578125" style="1" customWidth="1"/>
    <col min="14" max="14" width="10.42578125" style="1" customWidth="1"/>
    <col min="15" max="15" width="4.140625" style="1" customWidth="1"/>
    <col min="16" max="16" width="8.85546875" style="1"/>
    <col min="17" max="17" width="13.85546875" style="1" hidden="1" customWidth="1"/>
    <col min="18" max="18" width="10.42578125" style="1" hidden="1" customWidth="1"/>
    <col min="19" max="21" width="9.42578125" style="1" hidden="1" customWidth="1"/>
    <col min="22" max="22" width="0" style="1" hidden="1" customWidth="1"/>
    <col min="23" max="23" width="23.42578125" style="1" hidden="1" customWidth="1"/>
    <col min="24" max="24" width="13.42578125" style="1" hidden="1" customWidth="1"/>
    <col min="25" max="25" width="10.5703125" style="1" hidden="1" customWidth="1"/>
    <col min="26" max="26" width="13.85546875" style="1" hidden="1" customWidth="1"/>
    <col min="27" max="16384" width="8.85546875" style="1"/>
  </cols>
  <sheetData>
    <row r="1" spans="1:24" ht="14.45" customHeight="1">
      <c r="A1" s="120" t="s">
        <v>128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24" ht="14.4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121" t="s">
        <v>129</v>
      </c>
      <c r="O2" s="121"/>
    </row>
    <row r="3" spans="1:24">
      <c r="N3" s="121" t="s">
        <v>130</v>
      </c>
      <c r="O3" s="121"/>
      <c r="T3" s="51"/>
      <c r="U3" s="51" t="s">
        <v>131</v>
      </c>
      <c r="V3" s="51"/>
      <c r="W3" s="51"/>
      <c r="X3" s="51"/>
    </row>
    <row r="4" spans="1:24" ht="15" customHeight="1" thickBot="1">
      <c r="A4" s="22" t="s">
        <v>86</v>
      </c>
      <c r="F4" s="22"/>
      <c r="G4" s="22"/>
      <c r="Q4" s="29" t="s">
        <v>132</v>
      </c>
      <c r="T4" s="51">
        <v>1</v>
      </c>
      <c r="U4" s="51" t="s">
        <v>133</v>
      </c>
      <c r="V4" s="51"/>
      <c r="W4" s="51"/>
      <c r="X4" s="51"/>
    </row>
    <row r="5" spans="1:24" ht="15" customHeight="1" thickBot="1">
      <c r="A5" s="22" t="s">
        <v>85</v>
      </c>
      <c r="E5" s="27" t="s">
        <v>189</v>
      </c>
      <c r="F5" s="22"/>
      <c r="G5" s="22" t="s">
        <v>83</v>
      </c>
      <c r="K5" s="33" t="s">
        <v>98</v>
      </c>
      <c r="L5" s="35"/>
      <c r="M5" s="35"/>
      <c r="N5" s="35"/>
      <c r="O5" s="34"/>
      <c r="Q5" s="29" t="s">
        <v>134</v>
      </c>
      <c r="T5" s="51"/>
      <c r="U5" s="51">
        <v>1.1000000000000001</v>
      </c>
      <c r="V5" s="51" t="s">
        <v>135</v>
      </c>
      <c r="W5" s="51" t="s">
        <v>136</v>
      </c>
      <c r="X5" s="51"/>
    </row>
    <row r="6" spans="1:24" ht="15" customHeight="1" thickBot="1">
      <c r="A6" s="22" t="s">
        <v>81</v>
      </c>
      <c r="C6" s="103" t="s">
        <v>80</v>
      </c>
      <c r="D6" s="104"/>
      <c r="F6" s="22"/>
      <c r="G6" s="22" t="s">
        <v>79</v>
      </c>
      <c r="J6" s="103" t="s">
        <v>137</v>
      </c>
      <c r="K6" s="108"/>
      <c r="L6" s="108"/>
      <c r="M6" s="108"/>
      <c r="N6" s="108"/>
      <c r="O6" s="104"/>
      <c r="T6" s="51"/>
      <c r="U6" s="51"/>
      <c r="V6" s="51"/>
      <c r="W6" s="51" t="s">
        <v>138</v>
      </c>
      <c r="X6" s="51"/>
    </row>
    <row r="7" spans="1:24" ht="14.45" customHeight="1">
      <c r="F7" s="22"/>
      <c r="T7" s="51"/>
      <c r="U7" s="51">
        <v>1.2</v>
      </c>
      <c r="V7" s="51" t="s">
        <v>139</v>
      </c>
      <c r="W7" s="51"/>
      <c r="X7" s="51"/>
    </row>
    <row r="8" spans="1:24">
      <c r="T8" s="51"/>
      <c r="U8" s="51"/>
      <c r="V8" s="51"/>
      <c r="W8" s="51" t="s">
        <v>140</v>
      </c>
      <c r="X8" s="51" t="s">
        <v>136</v>
      </c>
    </row>
    <row r="9" spans="1:24">
      <c r="T9" s="51"/>
      <c r="U9" s="51"/>
      <c r="V9" s="51"/>
      <c r="W9" s="51"/>
      <c r="X9" s="51" t="s">
        <v>138</v>
      </c>
    </row>
    <row r="10" spans="1:24" ht="13.5" thickBot="1">
      <c r="A10" s="1" t="s">
        <v>77</v>
      </c>
      <c r="B10" s="1" t="s">
        <v>76</v>
      </c>
      <c r="T10" s="51"/>
      <c r="U10" s="51"/>
      <c r="V10" s="51"/>
      <c r="W10" s="51" t="s">
        <v>141</v>
      </c>
      <c r="X10" s="51" t="s">
        <v>142</v>
      </c>
    </row>
    <row r="11" spans="1:24" ht="15" customHeight="1" thickBot="1">
      <c r="B11" s="48"/>
      <c r="C11" s="48" t="s">
        <v>75</v>
      </c>
      <c r="G11" s="103" t="s">
        <v>190</v>
      </c>
      <c r="H11" s="108"/>
      <c r="I11" s="108"/>
      <c r="J11" s="108"/>
      <c r="K11" s="108"/>
      <c r="L11" s="108"/>
      <c r="M11" s="108"/>
      <c r="N11" s="108"/>
      <c r="O11" s="104"/>
      <c r="T11" s="51"/>
      <c r="U11" s="51"/>
      <c r="V11" s="51"/>
      <c r="W11" s="51"/>
      <c r="X11" s="51"/>
    </row>
    <row r="12" spans="1:24" ht="13.5" thickBot="1">
      <c r="B12" s="48"/>
      <c r="C12" s="48" t="s">
        <v>73</v>
      </c>
      <c r="G12" s="103" t="s">
        <v>191</v>
      </c>
      <c r="H12" s="108"/>
      <c r="I12" s="108"/>
      <c r="J12" s="108"/>
      <c r="K12" s="108"/>
      <c r="L12" s="108"/>
      <c r="M12" s="108"/>
      <c r="N12" s="108"/>
      <c r="O12" s="104"/>
      <c r="T12" s="51">
        <v>2</v>
      </c>
      <c r="U12" s="51" t="s">
        <v>143</v>
      </c>
      <c r="V12" s="51"/>
      <c r="W12" s="51"/>
      <c r="X12" s="51"/>
    </row>
    <row r="13" spans="1:24" ht="13.5" thickBot="1">
      <c r="B13" s="48"/>
      <c r="Q13" s="29" t="s">
        <v>144</v>
      </c>
      <c r="T13" s="51"/>
      <c r="U13" s="51">
        <v>2.1</v>
      </c>
      <c r="V13" s="51" t="s">
        <v>145</v>
      </c>
      <c r="W13" s="51"/>
      <c r="X13" s="51"/>
    </row>
    <row r="14" spans="1:24" ht="16.5" thickBot="1">
      <c r="A14" s="1" t="s">
        <v>71</v>
      </c>
      <c r="B14" s="3" t="s">
        <v>146</v>
      </c>
      <c r="C14" s="3"/>
      <c r="D14" s="3"/>
      <c r="G14" s="103" t="s">
        <v>192</v>
      </c>
      <c r="H14" s="108"/>
      <c r="I14" s="108"/>
      <c r="J14" s="108"/>
      <c r="K14" s="108"/>
      <c r="L14" s="108"/>
      <c r="M14" s="108"/>
      <c r="N14" s="108"/>
      <c r="O14" s="104"/>
      <c r="Q14" s="29" t="s">
        <v>147</v>
      </c>
      <c r="T14" s="51"/>
      <c r="U14" s="51"/>
      <c r="V14" s="51"/>
      <c r="W14" s="51" t="s">
        <v>148</v>
      </c>
      <c r="X14" s="51" t="e">
        <f>VLOOKUP(#REF!,$V$27:$Z$27,4,FALSE)</f>
        <v>#REF!</v>
      </c>
    </row>
    <row r="15" spans="1:24" ht="16.5" thickBot="1">
      <c r="A15" s="3" t="s">
        <v>68</v>
      </c>
      <c r="B15" s="3" t="s">
        <v>149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Q15" s="29" t="s">
        <v>150</v>
      </c>
    </row>
    <row r="16" spans="1:24" ht="13.5" thickBot="1">
      <c r="A16" s="3"/>
      <c r="B16" s="7" t="s">
        <v>151</v>
      </c>
      <c r="D16" s="3"/>
      <c r="E16" s="3"/>
      <c r="F16" s="3"/>
      <c r="G16" s="36" t="s">
        <v>29</v>
      </c>
      <c r="H16" s="3"/>
      <c r="I16" s="9">
        <v>29</v>
      </c>
      <c r="J16" s="3" t="s">
        <v>152</v>
      </c>
      <c r="K16" s="3"/>
      <c r="L16" s="31" t="s">
        <v>28</v>
      </c>
      <c r="M16" s="31"/>
      <c r="N16" s="9">
        <v>35</v>
      </c>
      <c r="O16" s="3" t="s">
        <v>152</v>
      </c>
      <c r="Q16" s="29" t="s">
        <v>153</v>
      </c>
    </row>
    <row r="17" spans="1:26" ht="9" customHeight="1" thickBot="1">
      <c r="A17" s="3"/>
      <c r="B17" s="3"/>
      <c r="C17" s="7"/>
      <c r="D17" s="3"/>
      <c r="E17" s="3"/>
      <c r="F17" s="3"/>
      <c r="G17" s="36"/>
      <c r="H17" s="3"/>
      <c r="I17" s="52"/>
      <c r="J17" s="3"/>
      <c r="K17" s="3"/>
      <c r="L17" s="31"/>
      <c r="M17" s="31"/>
      <c r="N17" s="52"/>
      <c r="O17" s="3"/>
      <c r="Q17" s="29"/>
    </row>
    <row r="18" spans="1:26" ht="15" customHeight="1" thickBot="1">
      <c r="A18" s="3" t="s">
        <v>65</v>
      </c>
      <c r="B18" s="1" t="s">
        <v>67</v>
      </c>
      <c r="F18" s="53"/>
      <c r="G18" s="126" t="s">
        <v>154</v>
      </c>
      <c r="H18" s="127"/>
      <c r="I18" s="127"/>
      <c r="J18" s="127"/>
      <c r="K18" s="127"/>
      <c r="L18" s="127"/>
      <c r="M18" s="127"/>
      <c r="N18" s="128"/>
      <c r="O18"/>
    </row>
    <row r="19" spans="1:26" ht="15" customHeight="1" thickBot="1">
      <c r="G19" s="1" t="s">
        <v>155</v>
      </c>
      <c r="H19"/>
      <c r="I19" s="2"/>
      <c r="J19" s="2"/>
      <c r="K19" s="2"/>
      <c r="L19" s="2"/>
      <c r="M19" s="2"/>
      <c r="N19" s="2"/>
      <c r="O19" s="2"/>
    </row>
    <row r="20" spans="1:26" ht="54.6" customHeight="1" thickBot="1">
      <c r="G20" s="129"/>
      <c r="H20" s="130"/>
      <c r="I20" s="130"/>
      <c r="J20" s="130"/>
      <c r="K20" s="130"/>
      <c r="L20" s="130"/>
      <c r="M20" s="130"/>
      <c r="N20" s="130"/>
      <c r="O20" s="131"/>
    </row>
    <row r="21" spans="1:26" ht="13.5" thickBot="1"/>
    <row r="22" spans="1:26" ht="14.45" customHeight="1" thickBot="1">
      <c r="A22" s="1" t="s">
        <v>63</v>
      </c>
      <c r="B22" s="3" t="s">
        <v>156</v>
      </c>
      <c r="C22" s="3"/>
      <c r="D22" s="3"/>
      <c r="E22" s="3"/>
      <c r="F22" s="3"/>
      <c r="G22" s="54"/>
      <c r="H22" s="55"/>
      <c r="I22" s="132" t="s">
        <v>157</v>
      </c>
      <c r="J22" s="133"/>
      <c r="K22" s="133"/>
      <c r="L22" s="133"/>
      <c r="M22" s="133"/>
      <c r="N22" s="133"/>
      <c r="O22" s="3"/>
      <c r="Q22" s="29" t="s">
        <v>158</v>
      </c>
    </row>
    <row r="23" spans="1:26" ht="15" customHeight="1" thickBot="1">
      <c r="A23" s="3"/>
      <c r="B23" s="31"/>
      <c r="C23" s="122"/>
      <c r="D23" s="122"/>
      <c r="E23" s="122"/>
      <c r="F23" s="122"/>
      <c r="G23" s="3"/>
      <c r="H23" s="31"/>
      <c r="I23" s="31" t="s">
        <v>159</v>
      </c>
      <c r="J23" s="105"/>
      <c r="K23" s="106"/>
      <c r="L23" s="106"/>
      <c r="M23" s="106"/>
      <c r="N23" s="106"/>
      <c r="O23" s="107"/>
    </row>
    <row r="24" spans="1:26" ht="14.45" customHeight="1" thickBot="1">
      <c r="A24" s="3"/>
      <c r="B24" s="3"/>
      <c r="C24" s="122"/>
      <c r="D24" s="122"/>
      <c r="E24" s="122"/>
      <c r="F24" s="123"/>
      <c r="G24" s="54" t="s">
        <v>127</v>
      </c>
      <c r="H24" s="56"/>
      <c r="I24" s="124" t="s">
        <v>160</v>
      </c>
      <c r="J24" s="125"/>
      <c r="K24" s="125"/>
      <c r="L24" s="125"/>
      <c r="M24" s="125"/>
      <c r="N24" s="125"/>
      <c r="O24" s="3"/>
      <c r="U24" s="51"/>
      <c r="V24" s="51"/>
      <c r="W24" s="51"/>
      <c r="X24" s="51"/>
      <c r="Y24" s="51"/>
      <c r="Z24" s="51"/>
    </row>
    <row r="25" spans="1:26" ht="13.5" thickBot="1">
      <c r="A25" s="3"/>
      <c r="B25" s="3"/>
      <c r="C25" s="122"/>
      <c r="D25" s="122"/>
      <c r="E25" s="122"/>
      <c r="F25" s="122"/>
      <c r="G25" s="3"/>
      <c r="H25" s="3"/>
      <c r="I25" s="31" t="s">
        <v>159</v>
      </c>
      <c r="J25" s="105" t="s">
        <v>193</v>
      </c>
      <c r="K25" s="106"/>
      <c r="L25" s="106"/>
      <c r="M25" s="106"/>
      <c r="N25" s="106"/>
      <c r="O25" s="107"/>
      <c r="U25" s="51"/>
      <c r="V25" s="134" t="s">
        <v>161</v>
      </c>
      <c r="W25" s="134"/>
      <c r="X25" s="134"/>
      <c r="Y25" s="134"/>
      <c r="Z25" s="51"/>
    </row>
    <row r="26" spans="1:26" ht="13.5" thickBot="1">
      <c r="A26" s="3"/>
      <c r="B26" s="3"/>
      <c r="C26" s="122"/>
      <c r="D26" s="122"/>
      <c r="E26" s="122"/>
      <c r="F26" s="122"/>
      <c r="G26" s="3"/>
      <c r="H26" s="3"/>
      <c r="I26" s="31" t="s">
        <v>162</v>
      </c>
      <c r="J26" s="105" t="s">
        <v>194</v>
      </c>
      <c r="K26" s="106"/>
      <c r="L26" s="106"/>
      <c r="M26" s="106"/>
      <c r="N26" s="106"/>
      <c r="O26" s="107"/>
      <c r="U26" s="51"/>
      <c r="V26" s="51" t="s">
        <v>163</v>
      </c>
      <c r="W26" s="51" t="s">
        <v>164</v>
      </c>
      <c r="X26" s="51" t="s">
        <v>165</v>
      </c>
      <c r="Y26" s="1" t="s">
        <v>166</v>
      </c>
      <c r="Z26" s="1" t="s">
        <v>167</v>
      </c>
    </row>
    <row r="27" spans="1:26" ht="32.450000000000003" customHeight="1" thickBot="1">
      <c r="A27" s="57" t="s">
        <v>55</v>
      </c>
      <c r="B27" s="136" t="s">
        <v>168</v>
      </c>
      <c r="C27" s="137"/>
      <c r="D27" s="137"/>
      <c r="E27" s="137"/>
      <c r="G27" s="42"/>
      <c r="H27" s="42"/>
      <c r="I27" s="42"/>
      <c r="Q27" s="51"/>
      <c r="R27" s="51"/>
      <c r="S27" s="51"/>
      <c r="T27" s="51"/>
      <c r="U27" s="51"/>
      <c r="V27" s="51">
        <v>230</v>
      </c>
      <c r="W27" s="51">
        <v>170</v>
      </c>
      <c r="X27" s="51"/>
      <c r="Y27" s="1" t="e">
        <f>0.16*$W27*$W27/#REF!*#REF!</f>
        <v>#REF!</v>
      </c>
      <c r="Z27" s="1" t="e">
        <f>0.17*$W27*$W27/#REF!*#REF!</f>
        <v>#REF!</v>
      </c>
    </row>
    <row r="28" spans="1:26" ht="13.5" thickBot="1">
      <c r="B28" s="48" t="s">
        <v>169</v>
      </c>
      <c r="G28" s="103">
        <v>35</v>
      </c>
      <c r="H28" s="108"/>
      <c r="I28" s="104"/>
      <c r="J28" s="1" t="s">
        <v>27</v>
      </c>
      <c r="Q28" s="51">
        <v>0.16</v>
      </c>
      <c r="R28" s="51">
        <v>0.17</v>
      </c>
      <c r="S28" s="51" t="e">
        <f>IF(#REF!="FLAT",Q28,IF(#REF!="TREFOIL",R28,"-"))</f>
        <v>#REF!</v>
      </c>
      <c r="T28" s="51"/>
      <c r="U28" s="51"/>
      <c r="V28" s="51"/>
      <c r="W28" s="51" t="s">
        <v>170</v>
      </c>
      <c r="X28" s="51"/>
      <c r="Y28" s="51"/>
      <c r="Z28" s="51"/>
    </row>
    <row r="29" spans="1:26" ht="13.5" thickBot="1">
      <c r="B29" s="48" t="s">
        <v>171</v>
      </c>
      <c r="G29" s="103">
        <v>125</v>
      </c>
      <c r="H29" s="108"/>
      <c r="I29" s="104"/>
      <c r="J29" s="1" t="s">
        <v>172</v>
      </c>
      <c r="Q29" s="51" t="s">
        <v>173</v>
      </c>
      <c r="R29" s="51"/>
      <c r="S29" s="51"/>
      <c r="T29" s="51"/>
      <c r="U29" s="51"/>
      <c r="V29" s="51"/>
      <c r="W29" s="51" t="e">
        <f>$S$28*((VLOOKUP(#REF!,$V$27:$W$27,2,FALSE)^2)/#REF!)*G30</f>
        <v>#REF!</v>
      </c>
      <c r="X29" s="51"/>
      <c r="Y29" s="51"/>
      <c r="Z29" s="51"/>
    </row>
    <row r="30" spans="1:26" ht="13.5" thickBot="1">
      <c r="B30" s="48" t="s">
        <v>174</v>
      </c>
      <c r="G30" s="105">
        <v>600</v>
      </c>
      <c r="H30" s="106"/>
      <c r="I30" s="107"/>
      <c r="J30" s="1" t="s">
        <v>27</v>
      </c>
      <c r="K30" s="21"/>
      <c r="Q30" s="51" t="s">
        <v>175</v>
      </c>
      <c r="R30" s="51"/>
      <c r="S30" s="51"/>
      <c r="T30" s="51"/>
    </row>
    <row r="31" spans="1:26" ht="13.5" thickBot="1"/>
    <row r="32" spans="1:26" ht="15.75" thickBot="1">
      <c r="A32" s="1" t="s">
        <v>53</v>
      </c>
      <c r="B32" s="1" t="s">
        <v>176</v>
      </c>
      <c r="G32" s="129" t="s">
        <v>177</v>
      </c>
      <c r="H32" s="130"/>
      <c r="I32" s="130"/>
      <c r="J32" s="130"/>
      <c r="K32" s="130"/>
      <c r="L32" s="130"/>
      <c r="M32" s="130"/>
      <c r="N32" s="131"/>
      <c r="Q32" s="51" t="s">
        <v>178</v>
      </c>
    </row>
    <row r="34" spans="1:17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</row>
    <row r="36" spans="1:17" ht="31.15" customHeight="1">
      <c r="B36" s="59" t="s">
        <v>7</v>
      </c>
      <c r="C36" s="125" t="s">
        <v>179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Q36" s="60" t="s">
        <v>180</v>
      </c>
    </row>
    <row r="37" spans="1:17" ht="43.9" customHeight="1">
      <c r="B37" s="59" t="s">
        <v>5</v>
      </c>
      <c r="C37" s="125" t="s">
        <v>181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</row>
    <row r="38" spans="1:17">
      <c r="B38" s="61"/>
      <c r="C38" s="122" t="s">
        <v>182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</row>
    <row r="39" spans="1:17" ht="48" customHeight="1">
      <c r="B39" s="3"/>
      <c r="C39" s="125" t="s">
        <v>183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</row>
    <row r="40" spans="1:17" ht="19.149999999999999" customHeight="1">
      <c r="B40" s="59" t="s">
        <v>184</v>
      </c>
      <c r="C40" s="62" t="s">
        <v>185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  <row r="41" spans="1:17" ht="27.6" customHeight="1">
      <c r="B41" s="59" t="s">
        <v>186</v>
      </c>
      <c r="C41" s="125" t="s">
        <v>187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</row>
    <row r="53" spans="2:6" hidden="1">
      <c r="B53" s="1" t="s">
        <v>154</v>
      </c>
      <c r="F53" s="1" t="s">
        <v>177</v>
      </c>
    </row>
    <row r="54" spans="2:6" hidden="1">
      <c r="B54" s="1" t="s">
        <v>120</v>
      </c>
      <c r="F54" s="1" t="s">
        <v>188</v>
      </c>
    </row>
    <row r="55" spans="2:6" hidden="1"/>
    <row r="56" spans="2:6" hidden="1">
      <c r="B56" s="1" t="s">
        <v>157</v>
      </c>
    </row>
    <row r="57" spans="2:6" hidden="1">
      <c r="B57" s="1" t="s">
        <v>160</v>
      </c>
      <c r="F57" s="1" t="s">
        <v>127</v>
      </c>
    </row>
  </sheetData>
  <sheetProtection formatColumns="0" formatRows="0"/>
  <mergeCells count="30">
    <mergeCell ref="V25:Y25"/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  <mergeCell ref="C26:F26"/>
    <mergeCell ref="J26:O26"/>
    <mergeCell ref="G12:O12"/>
    <mergeCell ref="G14:O14"/>
    <mergeCell ref="G18:N18"/>
    <mergeCell ref="G20:O20"/>
    <mergeCell ref="I22:N22"/>
    <mergeCell ref="C23:F23"/>
    <mergeCell ref="J23:O23"/>
    <mergeCell ref="C24:F24"/>
    <mergeCell ref="I24:N24"/>
    <mergeCell ref="C25:F25"/>
    <mergeCell ref="J25:O25"/>
    <mergeCell ref="G11:O11"/>
    <mergeCell ref="A1:O1"/>
    <mergeCell ref="N2:O2"/>
    <mergeCell ref="N3:O3"/>
    <mergeCell ref="C6:D6"/>
    <mergeCell ref="J6:O6"/>
  </mergeCells>
  <conditionalFormatting sqref="A18:N18 P18:R18">
    <cfRule type="expression" dxfId="80" priority="2">
      <formula>CELL("protect", INDIRECT(ADDRESS(ROW(), COLUMN())))=0</formula>
    </cfRule>
  </conditionalFormatting>
  <conditionalFormatting sqref="A1:R1 A2:N3 P2:R3 A4:R12 A13:P15 Q13:R17 A16:B16 D16:P16 A17:P17 A19:R19 A20:G20 P20:R20 A21:R21 B22:R22 A23:R26 A27:B27 F27:P27 R27:S27 A28:O28 R28:R31 A29:Q31 B32:G32 O32:R32 A33:R36 A37:B37 O37:R37 A38:R1048576">
    <cfRule type="expression" dxfId="79" priority="1">
      <formula>CELL("protect", INDIRECT(ADDRESS(ROW(), COLUMN())))=0</formula>
    </cfRule>
  </conditionalFormatting>
  <dataValidations count="3">
    <dataValidation type="list" allowBlank="1" showInputMessage="1" showErrorMessage="1" sqref="G18" xr:uid="{00000000-0002-0000-0100-000000000000}">
      <formula1>$B$53:$B$54</formula1>
    </dataValidation>
    <dataValidation type="list" allowBlank="1" showInputMessage="1" showErrorMessage="1" sqref="G32:N32" xr:uid="{00000000-0002-0000-0100-000001000000}">
      <formula1>$F$53:$F$54</formula1>
    </dataValidation>
    <dataValidation type="list" allowBlank="1" showInputMessage="1" showErrorMessage="1" sqref="G22 G24" xr:uid="{00000000-0002-0000-0100-000002000000}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7"/>
  <sheetViews>
    <sheetView topLeftCell="A13" zoomScaleSheetLayoutView="85" workbookViewId="0">
      <selection activeCell="AB11" sqref="AB11"/>
    </sheetView>
  </sheetViews>
  <sheetFormatPr defaultColWidth="8.85546875" defaultRowHeight="12.75"/>
  <cols>
    <col min="1" max="1" width="2.42578125" style="1" customWidth="1"/>
    <col min="2" max="4" width="8.85546875" style="1"/>
    <col min="5" max="5" width="13.42578125" style="1" customWidth="1"/>
    <col min="6" max="6" width="3" style="1" customWidth="1"/>
    <col min="7" max="7" width="2.85546875" style="1" customWidth="1"/>
    <col min="8" max="8" width="1.140625" style="1" customWidth="1"/>
    <col min="9" max="9" width="11" style="1" customWidth="1"/>
    <col min="10" max="10" width="2.85546875" style="1" customWidth="1"/>
    <col min="11" max="11" width="7.5703125" style="1" customWidth="1"/>
    <col min="12" max="12" width="1.85546875" style="1" customWidth="1"/>
    <col min="13" max="13" width="2.42578125" style="1" customWidth="1"/>
    <col min="14" max="14" width="10.42578125" style="1" customWidth="1"/>
    <col min="15" max="15" width="4.140625" style="1" customWidth="1"/>
    <col min="16" max="16" width="8.85546875" style="1"/>
    <col min="17" max="17" width="13.85546875" style="1" hidden="1" customWidth="1"/>
    <col min="18" max="18" width="10.42578125" style="1" hidden="1" customWidth="1"/>
    <col min="19" max="21" width="9.42578125" style="1" hidden="1" customWidth="1"/>
    <col min="22" max="22" width="0" style="1" hidden="1" customWidth="1"/>
    <col min="23" max="23" width="23.42578125" style="1" hidden="1" customWidth="1"/>
    <col min="24" max="24" width="13.42578125" style="1" hidden="1" customWidth="1"/>
    <col min="25" max="25" width="10.5703125" style="1" hidden="1" customWidth="1"/>
    <col min="26" max="26" width="13.85546875" style="1" hidden="1" customWidth="1"/>
    <col min="27" max="16384" width="8.85546875" style="1"/>
  </cols>
  <sheetData>
    <row r="1" spans="1:24" ht="14.45" customHeight="1">
      <c r="A1" s="120" t="s">
        <v>128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24" ht="14.4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21" t="s">
        <v>129</v>
      </c>
      <c r="O2" s="121"/>
    </row>
    <row r="3" spans="1:24">
      <c r="N3" s="121" t="s">
        <v>130</v>
      </c>
      <c r="O3" s="121"/>
      <c r="T3" s="51"/>
      <c r="U3" s="51" t="s">
        <v>131</v>
      </c>
      <c r="V3" s="51"/>
      <c r="W3" s="51"/>
      <c r="X3" s="51"/>
    </row>
    <row r="4" spans="1:24" ht="15" customHeight="1" thickBot="1">
      <c r="A4" s="22" t="s">
        <v>86</v>
      </c>
      <c r="F4" s="22"/>
      <c r="G4" s="22"/>
      <c r="Q4" s="29" t="s">
        <v>132</v>
      </c>
      <c r="T4" s="51">
        <v>1</v>
      </c>
      <c r="U4" s="51" t="s">
        <v>133</v>
      </c>
      <c r="V4" s="51"/>
      <c r="W4" s="51"/>
      <c r="X4" s="51"/>
    </row>
    <row r="5" spans="1:24" ht="15" customHeight="1" thickBot="1">
      <c r="A5" s="22" t="s">
        <v>85</v>
      </c>
      <c r="E5" s="27" t="s">
        <v>189</v>
      </c>
      <c r="F5" s="22"/>
      <c r="G5" s="22" t="s">
        <v>83</v>
      </c>
      <c r="K5" s="81" t="s">
        <v>98</v>
      </c>
      <c r="L5" s="82"/>
      <c r="M5" s="82"/>
      <c r="N5" s="82"/>
      <c r="O5" s="83"/>
      <c r="Q5" s="29" t="s">
        <v>134</v>
      </c>
      <c r="T5" s="51"/>
      <c r="U5" s="51">
        <v>1.1000000000000001</v>
      </c>
      <c r="V5" s="51" t="s">
        <v>135</v>
      </c>
      <c r="W5" s="51" t="s">
        <v>136</v>
      </c>
      <c r="X5" s="51"/>
    </row>
    <row r="6" spans="1:24" ht="15" customHeight="1" thickBot="1">
      <c r="A6" s="22" t="s">
        <v>81</v>
      </c>
      <c r="C6" s="103" t="s">
        <v>80</v>
      </c>
      <c r="D6" s="104"/>
      <c r="F6" s="22"/>
      <c r="G6" s="22" t="s">
        <v>79</v>
      </c>
      <c r="J6" s="103" t="s">
        <v>137</v>
      </c>
      <c r="K6" s="108"/>
      <c r="L6" s="108"/>
      <c r="M6" s="108"/>
      <c r="N6" s="108"/>
      <c r="O6" s="104"/>
      <c r="T6" s="51"/>
      <c r="U6" s="51"/>
      <c r="V6" s="51"/>
      <c r="W6" s="51" t="s">
        <v>138</v>
      </c>
      <c r="X6" s="51"/>
    </row>
    <row r="7" spans="1:24" ht="14.45" customHeight="1">
      <c r="F7" s="22"/>
      <c r="T7" s="51"/>
      <c r="U7" s="51">
        <v>1.2</v>
      </c>
      <c r="V7" s="51" t="s">
        <v>139</v>
      </c>
      <c r="W7" s="51"/>
      <c r="X7" s="51"/>
    </row>
    <row r="8" spans="1:24">
      <c r="T8" s="51"/>
      <c r="U8" s="51"/>
      <c r="V8" s="51"/>
      <c r="W8" s="51" t="s">
        <v>140</v>
      </c>
      <c r="X8" s="51" t="s">
        <v>136</v>
      </c>
    </row>
    <row r="9" spans="1:24">
      <c r="T9" s="51"/>
      <c r="U9" s="51"/>
      <c r="V9" s="51"/>
      <c r="W9" s="51"/>
      <c r="X9" s="51" t="s">
        <v>138</v>
      </c>
    </row>
    <row r="10" spans="1:24" ht="13.5" thickBot="1">
      <c r="A10" s="1" t="s">
        <v>77</v>
      </c>
      <c r="B10" s="1" t="s">
        <v>76</v>
      </c>
      <c r="T10" s="51"/>
      <c r="U10" s="51"/>
      <c r="V10" s="51"/>
      <c r="W10" s="51" t="s">
        <v>141</v>
      </c>
      <c r="X10" s="51" t="s">
        <v>142</v>
      </c>
    </row>
    <row r="11" spans="1:24" ht="15" customHeight="1" thickBot="1">
      <c r="B11" s="48"/>
      <c r="C11" s="48" t="s">
        <v>75</v>
      </c>
      <c r="G11" s="103" t="s">
        <v>228</v>
      </c>
      <c r="H11" s="108"/>
      <c r="I11" s="108"/>
      <c r="J11" s="108"/>
      <c r="K11" s="108"/>
      <c r="L11" s="108"/>
      <c r="M11" s="108"/>
      <c r="N11" s="108"/>
      <c r="O11" s="104"/>
      <c r="T11" s="51"/>
      <c r="U11" s="51"/>
      <c r="V11" s="51"/>
      <c r="W11" s="51"/>
      <c r="X11" s="51"/>
    </row>
    <row r="12" spans="1:24" ht="13.5" thickBot="1">
      <c r="B12" s="48"/>
      <c r="C12" s="48" t="s">
        <v>73</v>
      </c>
      <c r="G12" s="103" t="s">
        <v>229</v>
      </c>
      <c r="H12" s="108"/>
      <c r="I12" s="108"/>
      <c r="J12" s="108"/>
      <c r="K12" s="108"/>
      <c r="L12" s="108"/>
      <c r="M12" s="108"/>
      <c r="N12" s="108"/>
      <c r="O12" s="104"/>
      <c r="T12" s="51">
        <v>2</v>
      </c>
      <c r="U12" s="51" t="s">
        <v>143</v>
      </c>
      <c r="V12" s="51"/>
      <c r="W12" s="51"/>
      <c r="X12" s="51"/>
    </row>
    <row r="13" spans="1:24" ht="13.5" thickBot="1">
      <c r="B13" s="48"/>
      <c r="Q13" s="29" t="s">
        <v>144</v>
      </c>
      <c r="T13" s="51"/>
      <c r="U13" s="51">
        <v>2.1</v>
      </c>
      <c r="V13" s="51" t="s">
        <v>145</v>
      </c>
      <c r="W13" s="51"/>
      <c r="X13" s="51"/>
    </row>
    <row r="14" spans="1:24" ht="16.5" thickBot="1">
      <c r="A14" s="1" t="s">
        <v>71</v>
      </c>
      <c r="B14" s="3" t="s">
        <v>146</v>
      </c>
      <c r="C14" s="3"/>
      <c r="D14" s="3"/>
      <c r="G14" s="103" t="s">
        <v>230</v>
      </c>
      <c r="H14" s="108"/>
      <c r="I14" s="108"/>
      <c r="J14" s="108"/>
      <c r="K14" s="108"/>
      <c r="L14" s="108"/>
      <c r="M14" s="108"/>
      <c r="N14" s="108"/>
      <c r="O14" s="104"/>
      <c r="Q14" s="29" t="s">
        <v>147</v>
      </c>
      <c r="T14" s="51"/>
      <c r="U14" s="51"/>
      <c r="V14" s="51"/>
      <c r="W14" s="51" t="s">
        <v>148</v>
      </c>
      <c r="X14" s="51" t="e">
        <f>VLOOKUP(#REF!,$V$27:$Z$27,4,FALSE)</f>
        <v>#REF!</v>
      </c>
    </row>
    <row r="15" spans="1:24" ht="16.5" thickBot="1">
      <c r="A15" s="3" t="s">
        <v>68</v>
      </c>
      <c r="B15" s="3" t="s">
        <v>149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Q15" s="29" t="s">
        <v>150</v>
      </c>
    </row>
    <row r="16" spans="1:24" ht="13.5" thickBot="1">
      <c r="A16" s="3"/>
      <c r="B16" s="7" t="s">
        <v>151</v>
      </c>
      <c r="D16" s="3"/>
      <c r="E16" s="3"/>
      <c r="F16" s="3"/>
      <c r="G16" s="86" t="s">
        <v>29</v>
      </c>
      <c r="H16" s="3"/>
      <c r="I16" s="9">
        <v>30</v>
      </c>
      <c r="J16" s="3" t="s">
        <v>152</v>
      </c>
      <c r="K16" s="3"/>
      <c r="L16" s="88" t="s">
        <v>28</v>
      </c>
      <c r="M16" s="88"/>
      <c r="N16" s="9">
        <v>35</v>
      </c>
      <c r="O16" s="3" t="s">
        <v>152</v>
      </c>
      <c r="Q16" s="29" t="s">
        <v>153</v>
      </c>
    </row>
    <row r="17" spans="1:26" ht="9" customHeight="1" thickBot="1">
      <c r="A17" s="3"/>
      <c r="B17" s="3"/>
      <c r="C17" s="7"/>
      <c r="D17" s="3"/>
      <c r="E17" s="3"/>
      <c r="F17" s="3"/>
      <c r="G17" s="86"/>
      <c r="H17" s="3"/>
      <c r="I17" s="52"/>
      <c r="J17" s="3"/>
      <c r="K17" s="3"/>
      <c r="L17" s="88"/>
      <c r="M17" s="88"/>
      <c r="N17" s="52"/>
      <c r="O17" s="3"/>
      <c r="Q17" s="29"/>
    </row>
    <row r="18" spans="1:26" ht="15" customHeight="1" thickBot="1">
      <c r="A18" s="3" t="s">
        <v>65</v>
      </c>
      <c r="B18" s="1" t="s">
        <v>67</v>
      </c>
      <c r="F18" s="53"/>
      <c r="G18" s="126" t="s">
        <v>154</v>
      </c>
      <c r="H18" s="127"/>
      <c r="I18" s="127"/>
      <c r="J18" s="127"/>
      <c r="K18" s="127"/>
      <c r="L18" s="127"/>
      <c r="M18" s="127"/>
      <c r="N18" s="128"/>
      <c r="O18"/>
    </row>
    <row r="19" spans="1:26" ht="15" customHeight="1" thickBot="1">
      <c r="G19" s="1" t="s">
        <v>155</v>
      </c>
      <c r="H19"/>
      <c r="I19" s="2"/>
      <c r="J19" s="2"/>
      <c r="K19" s="2"/>
      <c r="L19" s="2"/>
      <c r="M19" s="2"/>
      <c r="N19" s="2"/>
      <c r="O19" s="2"/>
    </row>
    <row r="20" spans="1:26" ht="54.6" customHeight="1" thickBot="1">
      <c r="G20" s="129"/>
      <c r="H20" s="130"/>
      <c r="I20" s="130"/>
      <c r="J20" s="130"/>
      <c r="K20" s="130"/>
      <c r="L20" s="130"/>
      <c r="M20" s="130"/>
      <c r="N20" s="130"/>
      <c r="O20" s="131"/>
    </row>
    <row r="21" spans="1:26" ht="13.5" thickBot="1"/>
    <row r="22" spans="1:26" ht="14.45" customHeight="1" thickBot="1">
      <c r="A22" s="1" t="s">
        <v>63</v>
      </c>
      <c r="B22" s="3" t="s">
        <v>156</v>
      </c>
      <c r="C22" s="3"/>
      <c r="D22" s="3"/>
      <c r="E22" s="3"/>
      <c r="F22" s="3"/>
      <c r="G22" s="54"/>
      <c r="H22" s="55"/>
      <c r="I22" s="132" t="s">
        <v>157</v>
      </c>
      <c r="J22" s="133"/>
      <c r="K22" s="133"/>
      <c r="L22" s="133"/>
      <c r="M22" s="133"/>
      <c r="N22" s="133"/>
      <c r="O22" s="3"/>
      <c r="Q22" s="29" t="s">
        <v>158</v>
      </c>
    </row>
    <row r="23" spans="1:26" ht="15" customHeight="1" thickBot="1">
      <c r="A23" s="3"/>
      <c r="B23" s="88"/>
      <c r="C23" s="122"/>
      <c r="D23" s="122"/>
      <c r="E23" s="122"/>
      <c r="F23" s="122"/>
      <c r="G23" s="3"/>
      <c r="H23" s="88"/>
      <c r="I23" s="88" t="s">
        <v>159</v>
      </c>
      <c r="J23" s="105"/>
      <c r="K23" s="106"/>
      <c r="L23" s="106"/>
      <c r="M23" s="106"/>
      <c r="N23" s="106"/>
      <c r="O23" s="107"/>
    </row>
    <row r="24" spans="1:26" ht="14.45" customHeight="1" thickBot="1">
      <c r="A24" s="3"/>
      <c r="B24" s="3"/>
      <c r="C24" s="122"/>
      <c r="D24" s="122"/>
      <c r="E24" s="122"/>
      <c r="F24" s="123"/>
      <c r="G24" s="54" t="s">
        <v>127</v>
      </c>
      <c r="H24" s="56"/>
      <c r="I24" s="124" t="s">
        <v>160</v>
      </c>
      <c r="J24" s="125"/>
      <c r="K24" s="125"/>
      <c r="L24" s="125"/>
      <c r="M24" s="125"/>
      <c r="N24" s="125"/>
      <c r="O24" s="3"/>
      <c r="U24" s="51"/>
      <c r="V24" s="51"/>
      <c r="W24" s="51"/>
      <c r="X24" s="51"/>
      <c r="Y24" s="51"/>
      <c r="Z24" s="51"/>
    </row>
    <row r="25" spans="1:26" ht="13.5" thickBot="1">
      <c r="A25" s="3"/>
      <c r="B25" s="3"/>
      <c r="C25" s="122"/>
      <c r="D25" s="122"/>
      <c r="E25" s="122"/>
      <c r="F25" s="122"/>
      <c r="G25" s="3"/>
      <c r="H25" s="3"/>
      <c r="I25" s="88" t="s">
        <v>159</v>
      </c>
      <c r="J25" s="105" t="s">
        <v>231</v>
      </c>
      <c r="K25" s="106"/>
      <c r="L25" s="106"/>
      <c r="M25" s="106"/>
      <c r="N25" s="106"/>
      <c r="O25" s="107"/>
      <c r="U25" s="51"/>
      <c r="V25" s="134" t="s">
        <v>161</v>
      </c>
      <c r="W25" s="134"/>
      <c r="X25" s="134"/>
      <c r="Y25" s="134"/>
      <c r="Z25" s="51"/>
    </row>
    <row r="26" spans="1:26" ht="13.5" thickBot="1">
      <c r="A26" s="3"/>
      <c r="B26" s="3"/>
      <c r="C26" s="122"/>
      <c r="D26" s="122"/>
      <c r="E26" s="122"/>
      <c r="F26" s="122"/>
      <c r="G26" s="3"/>
      <c r="H26" s="3"/>
      <c r="I26" s="88" t="s">
        <v>162</v>
      </c>
      <c r="J26" s="138" t="s">
        <v>232</v>
      </c>
      <c r="K26" s="106"/>
      <c r="L26" s="106"/>
      <c r="M26" s="106"/>
      <c r="N26" s="106"/>
      <c r="O26" s="107"/>
      <c r="U26" s="51"/>
      <c r="V26" s="51" t="s">
        <v>163</v>
      </c>
      <c r="W26" s="51" t="s">
        <v>164</v>
      </c>
      <c r="X26" s="51" t="s">
        <v>165</v>
      </c>
      <c r="Y26" s="1" t="s">
        <v>166</v>
      </c>
      <c r="Z26" s="1" t="s">
        <v>167</v>
      </c>
    </row>
    <row r="27" spans="1:26" ht="32.450000000000003" customHeight="1" thickBot="1">
      <c r="A27" s="57" t="s">
        <v>55</v>
      </c>
      <c r="B27" s="136" t="s">
        <v>168</v>
      </c>
      <c r="C27" s="137"/>
      <c r="D27" s="137"/>
      <c r="E27" s="137"/>
      <c r="G27" s="42"/>
      <c r="H27" s="42"/>
      <c r="I27" s="42"/>
      <c r="Q27" s="51"/>
      <c r="R27" s="51"/>
      <c r="S27" s="51"/>
      <c r="T27" s="51"/>
      <c r="U27" s="51"/>
      <c r="V27" s="51">
        <v>230</v>
      </c>
      <c r="W27" s="51">
        <v>170</v>
      </c>
      <c r="X27" s="51"/>
      <c r="Y27" s="1" t="e">
        <f>0.16*$W27*$W27/#REF!*#REF!</f>
        <v>#REF!</v>
      </c>
      <c r="Z27" s="1" t="e">
        <f>0.17*$W27*$W27/#REF!*#REF!</f>
        <v>#REF!</v>
      </c>
    </row>
    <row r="28" spans="1:26" ht="13.5" thickBot="1">
      <c r="B28" s="48" t="s">
        <v>169</v>
      </c>
      <c r="G28" s="105">
        <v>36</v>
      </c>
      <c r="H28" s="106"/>
      <c r="I28" s="107"/>
      <c r="J28" s="1" t="s">
        <v>27</v>
      </c>
      <c r="Q28" s="51">
        <v>0.16</v>
      </c>
      <c r="R28" s="51">
        <v>0.17</v>
      </c>
      <c r="S28" s="51" t="e">
        <f>IF(#REF!="FLAT",Q28,IF(#REF!="TREFOIL",R28,"-"))</f>
        <v>#REF!</v>
      </c>
      <c r="T28" s="51"/>
      <c r="U28" s="51"/>
      <c r="V28" s="51"/>
      <c r="W28" s="51" t="s">
        <v>170</v>
      </c>
      <c r="X28" s="51"/>
      <c r="Y28" s="51"/>
      <c r="Z28" s="51"/>
    </row>
    <row r="29" spans="1:26" ht="13.5" thickBot="1">
      <c r="B29" s="48" t="s">
        <v>171</v>
      </c>
      <c r="G29" s="105">
        <v>108</v>
      </c>
      <c r="H29" s="106"/>
      <c r="I29" s="107"/>
      <c r="J29" s="1" t="s">
        <v>172</v>
      </c>
      <c r="Q29" s="51" t="s">
        <v>173</v>
      </c>
      <c r="R29" s="51"/>
      <c r="S29" s="51"/>
      <c r="T29" s="51"/>
      <c r="U29" s="51"/>
      <c r="V29" s="51"/>
      <c r="W29" s="51" t="e">
        <f>$S$28*((VLOOKUP(#REF!,$V$27:$W$27,2,FALSE)^2)/#REF!)*G30</f>
        <v>#REF!</v>
      </c>
      <c r="X29" s="51"/>
      <c r="Y29" s="51"/>
      <c r="Z29" s="51"/>
    </row>
    <row r="30" spans="1:26" ht="13.5" thickBot="1">
      <c r="B30" s="48" t="s">
        <v>174</v>
      </c>
      <c r="G30" s="105">
        <v>600</v>
      </c>
      <c r="H30" s="106"/>
      <c r="I30" s="107"/>
      <c r="J30" s="1" t="s">
        <v>27</v>
      </c>
      <c r="K30" s="21"/>
      <c r="Q30" s="51" t="s">
        <v>175</v>
      </c>
      <c r="R30" s="51"/>
      <c r="S30" s="51"/>
      <c r="T30" s="51"/>
    </row>
    <row r="31" spans="1:26" ht="13.5" thickBot="1"/>
    <row r="32" spans="1:26" ht="15.75" thickBot="1">
      <c r="A32" s="1" t="s">
        <v>53</v>
      </c>
      <c r="B32" s="1" t="s">
        <v>176</v>
      </c>
      <c r="G32" s="129" t="s">
        <v>177</v>
      </c>
      <c r="H32" s="130"/>
      <c r="I32" s="130"/>
      <c r="J32" s="130"/>
      <c r="K32" s="130"/>
      <c r="L32" s="130"/>
      <c r="M32" s="130"/>
      <c r="N32" s="131"/>
      <c r="Q32" s="51" t="s">
        <v>178</v>
      </c>
    </row>
    <row r="34" spans="1:17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</row>
    <row r="36" spans="1:17" ht="31.15" customHeight="1">
      <c r="B36" s="59" t="s">
        <v>7</v>
      </c>
      <c r="C36" s="125" t="s">
        <v>179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Q36" s="60" t="s">
        <v>180</v>
      </c>
    </row>
    <row r="37" spans="1:17" ht="43.9" customHeight="1">
      <c r="B37" s="59" t="s">
        <v>5</v>
      </c>
      <c r="C37" s="125" t="s">
        <v>181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</row>
    <row r="38" spans="1:17">
      <c r="B38" s="61"/>
      <c r="C38" s="122" t="s">
        <v>182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</row>
    <row r="39" spans="1:17" ht="48" customHeight="1">
      <c r="B39" s="3"/>
      <c r="C39" s="125" t="s">
        <v>183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</row>
    <row r="40" spans="1:17" ht="19.149999999999999" customHeight="1">
      <c r="B40" s="59" t="s">
        <v>184</v>
      </c>
      <c r="C40" s="85" t="s">
        <v>185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</row>
    <row r="41" spans="1:17" ht="27.6" customHeight="1">
      <c r="B41" s="59" t="s">
        <v>186</v>
      </c>
      <c r="C41" s="125" t="s">
        <v>187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</row>
    <row r="53" spans="2:6" hidden="1">
      <c r="B53" s="1" t="s">
        <v>154</v>
      </c>
      <c r="F53" s="1" t="s">
        <v>177</v>
      </c>
    </row>
    <row r="54" spans="2:6" hidden="1">
      <c r="B54" s="1" t="s">
        <v>120</v>
      </c>
      <c r="F54" s="1" t="s">
        <v>188</v>
      </c>
    </row>
    <row r="55" spans="2:6" hidden="1"/>
    <row r="56" spans="2:6" hidden="1">
      <c r="B56" s="1" t="s">
        <v>157</v>
      </c>
    </row>
    <row r="57" spans="2:6" hidden="1">
      <c r="B57" s="1" t="s">
        <v>160</v>
      </c>
      <c r="F57" s="1" t="s">
        <v>127</v>
      </c>
    </row>
  </sheetData>
  <sheetProtection formatColumns="0" formatRows="0"/>
  <mergeCells count="30">
    <mergeCell ref="V25:Y25"/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  <mergeCell ref="C26:F26"/>
    <mergeCell ref="J26:O26"/>
    <mergeCell ref="G12:O12"/>
    <mergeCell ref="G14:O14"/>
    <mergeCell ref="G18:N18"/>
    <mergeCell ref="G20:O20"/>
    <mergeCell ref="I22:N22"/>
    <mergeCell ref="C23:F23"/>
    <mergeCell ref="J23:O23"/>
    <mergeCell ref="C24:F24"/>
    <mergeCell ref="I24:N24"/>
    <mergeCell ref="C25:F25"/>
    <mergeCell ref="J25:O25"/>
    <mergeCell ref="G11:O11"/>
    <mergeCell ref="A1:O1"/>
    <mergeCell ref="N2:O2"/>
    <mergeCell ref="N3:O3"/>
    <mergeCell ref="C6:D6"/>
    <mergeCell ref="J6:O6"/>
  </mergeCells>
  <conditionalFormatting sqref="A18:N18 P18:R18">
    <cfRule type="expression" dxfId="78" priority="8">
      <formula>CELL("protect", INDIRECT(ADDRESS(ROW(), COLUMN())))=0</formula>
    </cfRule>
  </conditionalFormatting>
  <conditionalFormatting sqref="A1:R1 A2:N3 P2:R3 A4:R12 A13:P15 Q13:R17 A16:B16 D16:P16 A17:P17 A19:R19 A20:G20 P20:R20 A21:R21 B22:R22 A23:R26 A27:B27 F27:P27 R27:S27 A28:O28 R28:R31 A29:Q31 B32:G32 O32:R32 A33:R36 A37:B37 O37:R37 A38:R1048576">
    <cfRule type="expression" dxfId="77" priority="7">
      <formula>CELL("protect", INDIRECT(ADDRESS(ROW(), COLUMN())))=0</formula>
    </cfRule>
  </conditionalFormatting>
  <conditionalFormatting sqref="G11:O14">
    <cfRule type="expression" dxfId="76" priority="6">
      <formula>CELL("protect", INDIRECT(ADDRESS(ROW(), COLUMN())))=0</formula>
    </cfRule>
  </conditionalFormatting>
  <conditionalFormatting sqref="I16">
    <cfRule type="expression" dxfId="75" priority="5">
      <formula>CELL("protect", INDIRECT(ADDRESS(ROW(), COLUMN())))=0</formula>
    </cfRule>
  </conditionalFormatting>
  <conditionalFormatting sqref="G18:N18">
    <cfRule type="expression" dxfId="74" priority="4">
      <formula>CELL("protect", INDIRECT(ADDRESS(ROW(), COLUMN())))=0</formula>
    </cfRule>
  </conditionalFormatting>
  <conditionalFormatting sqref="G24">
    <cfRule type="expression" dxfId="73" priority="3">
      <formula>CELL("protect", INDIRECT(ADDRESS(ROW(), COLUMN())))=0</formula>
    </cfRule>
  </conditionalFormatting>
  <conditionalFormatting sqref="J25:O26">
    <cfRule type="expression" dxfId="72" priority="2">
      <formula>CELL("protect", INDIRECT(ADDRESS(ROW(), COLUMN())))=0</formula>
    </cfRule>
  </conditionalFormatting>
  <conditionalFormatting sqref="G28:I30">
    <cfRule type="expression" dxfId="71" priority="1">
      <formula>CELL("protect", INDIRECT(ADDRESS(ROW(), COLUMN())))=0</formula>
    </cfRule>
  </conditionalFormatting>
  <dataValidations count="3">
    <dataValidation type="list" allowBlank="1" showInputMessage="1" showErrorMessage="1" sqref="G18" xr:uid="{00000000-0002-0000-0200-000000000000}">
      <formula1>$B$53:$B$54</formula1>
    </dataValidation>
    <dataValidation type="list" allowBlank="1" showInputMessage="1" showErrorMessage="1" sqref="G32:N32" xr:uid="{00000000-0002-0000-0200-000001000000}">
      <formula1>$F$53:$F$54</formula1>
    </dataValidation>
    <dataValidation type="list" allowBlank="1" showInputMessage="1" showErrorMessage="1" sqref="G22 G24" xr:uid="{00000000-0002-0000-0200-000002000000}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6"/>
  <sheetViews>
    <sheetView view="pageBreakPreview" topLeftCell="A16" zoomScale="160" zoomScaleNormal="85" zoomScaleSheetLayoutView="160" workbookViewId="0">
      <selection activeCell="D40" sqref="D40"/>
    </sheetView>
  </sheetViews>
  <sheetFormatPr defaultColWidth="8.85546875" defaultRowHeight="12.75"/>
  <cols>
    <col min="1" max="1" width="2.28515625" style="1" customWidth="1"/>
    <col min="2" max="2" width="6.42578125" style="1" customWidth="1"/>
    <col min="3" max="3" width="8.85546875" style="1"/>
    <col min="4" max="4" width="8.28515625" style="1" customWidth="1"/>
    <col min="5" max="5" width="24.7109375" style="1" customWidth="1"/>
    <col min="6" max="6" width="3.42578125" style="1" customWidth="1"/>
    <col min="7" max="7" width="2.85546875" style="1" customWidth="1"/>
    <col min="8" max="8" width="1.140625" style="1" customWidth="1"/>
    <col min="9" max="9" width="14.28515625" style="1" customWidth="1"/>
    <col min="10" max="10" width="3.42578125" style="1" customWidth="1"/>
    <col min="11" max="11" width="7" style="1" customWidth="1"/>
    <col min="12" max="12" width="2.140625" style="1" customWidth="1"/>
    <col min="13" max="13" width="15.7109375" style="1" customWidth="1"/>
    <col min="14" max="14" width="3.42578125" style="1" customWidth="1"/>
    <col min="15" max="16384" width="8.85546875" style="1"/>
  </cols>
  <sheetData>
    <row r="1" spans="1:27" ht="22.9" customHeight="1">
      <c r="A1" s="97" t="s">
        <v>89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22"/>
    </row>
    <row r="2" spans="1:27" ht="13.15" customHeight="1">
      <c r="M2" s="139" t="s">
        <v>88</v>
      </c>
      <c r="N2" s="139"/>
      <c r="O2" s="29"/>
    </row>
    <row r="3" spans="1:27" ht="13.15" customHeight="1">
      <c r="M3" s="121" t="s">
        <v>87</v>
      </c>
      <c r="N3" s="121"/>
      <c r="O3" s="29"/>
    </row>
    <row r="4" spans="1:27" ht="7.15" customHeight="1"/>
    <row r="5" spans="1:27" ht="13.5" thickBot="1">
      <c r="A5" s="22" t="s">
        <v>86</v>
      </c>
      <c r="G5" s="22"/>
    </row>
    <row r="6" spans="1:27" ht="13.5" thickBot="1">
      <c r="A6" s="22" t="s">
        <v>85</v>
      </c>
      <c r="C6" s="28"/>
      <c r="D6" s="28"/>
      <c r="E6" s="27" t="s">
        <v>84</v>
      </c>
      <c r="G6" s="22" t="s">
        <v>83</v>
      </c>
      <c r="K6" s="103" t="s">
        <v>82</v>
      </c>
      <c r="L6" s="108"/>
      <c r="M6" s="108"/>
      <c r="N6" s="104"/>
    </row>
    <row r="7" spans="1:27" ht="13.5" thickBot="1">
      <c r="A7" s="22" t="s">
        <v>81</v>
      </c>
      <c r="C7" s="103" t="s">
        <v>80</v>
      </c>
      <c r="D7" s="104"/>
      <c r="E7" s="23"/>
      <c r="G7" s="22" t="s">
        <v>79</v>
      </c>
      <c r="J7" s="103" t="s">
        <v>78</v>
      </c>
      <c r="K7" s="108"/>
      <c r="L7" s="108"/>
      <c r="M7" s="108"/>
      <c r="N7" s="104"/>
    </row>
    <row r="8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7" ht="13.5" thickBot="1">
      <c r="A10" s="11" t="s">
        <v>77</v>
      </c>
      <c r="B10" s="3" t="s">
        <v>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7" ht="13.5" thickBot="1">
      <c r="A11" s="11"/>
      <c r="B11" s="7"/>
      <c r="C11" s="7" t="s">
        <v>75</v>
      </c>
      <c r="D11" s="3"/>
      <c r="E11" s="3"/>
      <c r="F11" s="3"/>
      <c r="G11" s="105" t="s">
        <v>90</v>
      </c>
      <c r="H11" s="106"/>
      <c r="I11" s="106"/>
      <c r="J11" s="106"/>
      <c r="K11" s="106"/>
      <c r="L11" s="106"/>
      <c r="M11" s="107"/>
      <c r="N11" s="5"/>
      <c r="O11" s="3"/>
    </row>
    <row r="12" spans="1:27" ht="13.5" thickBot="1">
      <c r="A12" s="11"/>
      <c r="B12" s="7"/>
      <c r="C12" s="7" t="s">
        <v>73</v>
      </c>
      <c r="D12" s="3"/>
      <c r="E12" s="3"/>
      <c r="F12" s="3"/>
      <c r="G12" s="105" t="s">
        <v>72</v>
      </c>
      <c r="H12" s="106"/>
      <c r="I12" s="106"/>
      <c r="J12" s="106"/>
      <c r="K12" s="106"/>
      <c r="L12" s="106"/>
      <c r="M12" s="107"/>
      <c r="N12" s="5"/>
      <c r="O12" s="3"/>
    </row>
    <row r="13" spans="1:27" ht="7.15" customHeight="1" thickBot="1">
      <c r="A13" s="11"/>
      <c r="B13" s="7"/>
      <c r="C13" s="7"/>
      <c r="D13" s="3"/>
      <c r="E13" s="3"/>
      <c r="F13" s="3"/>
      <c r="G13" s="20"/>
      <c r="H13" s="20"/>
      <c r="I13" s="20"/>
      <c r="J13" s="20"/>
      <c r="K13" s="20"/>
      <c r="L13" s="20"/>
      <c r="M13" s="20"/>
      <c r="N13" s="5"/>
      <c r="O13" s="3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 thickBot="1">
      <c r="A14" s="11" t="s">
        <v>71</v>
      </c>
      <c r="B14" s="3" t="s">
        <v>70</v>
      </c>
      <c r="C14" s="3"/>
      <c r="D14" s="3"/>
      <c r="E14" s="3"/>
      <c r="F14" s="3"/>
      <c r="G14" s="105" t="s">
        <v>91</v>
      </c>
      <c r="H14" s="106"/>
      <c r="I14" s="106"/>
      <c r="J14" s="106"/>
      <c r="K14" s="106"/>
      <c r="L14" s="106"/>
      <c r="M14" s="107"/>
      <c r="N14" s="5"/>
      <c r="O14" s="3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7.15" customHeight="1" thickBot="1">
      <c r="A15" s="11"/>
      <c r="B15" s="3"/>
      <c r="C15" s="3"/>
      <c r="D15" s="3"/>
      <c r="E15" s="3"/>
      <c r="F15" s="3"/>
      <c r="G15" s="5"/>
      <c r="H15" s="5"/>
      <c r="I15" s="5"/>
      <c r="J15" s="5"/>
      <c r="K15" s="5"/>
      <c r="L15" s="5"/>
      <c r="M15" s="5"/>
      <c r="N15" s="5"/>
      <c r="O15" s="3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 thickBot="1">
      <c r="A16" s="11" t="s">
        <v>68</v>
      </c>
      <c r="B16" s="3" t="s">
        <v>67</v>
      </c>
      <c r="C16" s="3"/>
      <c r="D16" s="3"/>
      <c r="E16" s="3"/>
      <c r="F16" s="3"/>
      <c r="G16" s="94" t="s">
        <v>3</v>
      </c>
      <c r="H16" s="95"/>
      <c r="I16" s="95"/>
      <c r="J16" s="95"/>
      <c r="K16" s="95"/>
      <c r="L16" s="95"/>
      <c r="M16" s="96"/>
      <c r="N16" s="17"/>
      <c r="O16" s="3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 thickBot="1">
      <c r="A17" s="11"/>
      <c r="B17" s="3"/>
      <c r="C17" s="3"/>
      <c r="D17" s="3"/>
      <c r="E17" s="3"/>
      <c r="F17" s="3"/>
      <c r="G17" s="3" t="s">
        <v>66</v>
      </c>
      <c r="H17" s="3"/>
      <c r="I17" s="36"/>
      <c r="J17" s="36"/>
      <c r="K17" s="36"/>
      <c r="L17" s="36"/>
      <c r="M17" s="36"/>
      <c r="N17" s="36"/>
      <c r="O17" s="3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37.9" customHeight="1" thickBot="1">
      <c r="A18" s="11"/>
      <c r="B18" s="3"/>
      <c r="C18" s="3"/>
      <c r="D18" s="3"/>
      <c r="E18" s="3"/>
      <c r="F18" s="3"/>
      <c r="G18" s="94"/>
      <c r="H18" s="95"/>
      <c r="I18" s="95"/>
      <c r="J18" s="95"/>
      <c r="K18" s="95"/>
      <c r="L18" s="95"/>
      <c r="M18" s="95"/>
      <c r="N18" s="96"/>
      <c r="O18" s="3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7.15" customHeight="1" thickBot="1">
      <c r="A19" s="11"/>
      <c r="B19" s="3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3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 thickBot="1">
      <c r="A20" s="11" t="s">
        <v>65</v>
      </c>
      <c r="B20" s="3" t="s">
        <v>64</v>
      </c>
      <c r="C20" s="3"/>
      <c r="D20" s="3"/>
      <c r="E20" s="3"/>
      <c r="F20" s="3"/>
      <c r="G20" s="105">
        <v>25</v>
      </c>
      <c r="H20" s="106"/>
      <c r="I20" s="106"/>
      <c r="J20" s="106"/>
      <c r="K20" s="106"/>
      <c r="L20" s="107"/>
      <c r="M20" s="36" t="s">
        <v>24</v>
      </c>
      <c r="N20" s="5"/>
      <c r="O20" s="3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 thickBot="1">
      <c r="A21" s="11" t="s">
        <v>63</v>
      </c>
      <c r="B21" s="3" t="s">
        <v>62</v>
      </c>
      <c r="C21" s="3"/>
      <c r="D21" s="3"/>
      <c r="E21" s="3"/>
      <c r="F21" s="3"/>
      <c r="G21" s="105">
        <v>35.700000000000003</v>
      </c>
      <c r="H21" s="106"/>
      <c r="I21" s="106"/>
      <c r="J21" s="106"/>
      <c r="K21" s="106"/>
      <c r="L21" s="107"/>
      <c r="M21" s="3" t="s">
        <v>61</v>
      </c>
      <c r="N21" s="5"/>
      <c r="O21" s="3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 thickBot="1">
      <c r="A22" s="11"/>
      <c r="B22" s="3"/>
      <c r="C22" s="7" t="s">
        <v>60</v>
      </c>
      <c r="D22" s="3"/>
      <c r="E22" s="3"/>
      <c r="F22" s="3"/>
      <c r="G22" s="105" t="s">
        <v>92</v>
      </c>
      <c r="H22" s="106"/>
      <c r="I22" s="106"/>
      <c r="J22" s="106"/>
      <c r="K22" s="106"/>
      <c r="L22" s="107"/>
      <c r="M22" s="36"/>
      <c r="N22" s="5"/>
      <c r="O22" s="3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 thickBot="1">
      <c r="A23" s="11"/>
      <c r="B23" s="3"/>
      <c r="C23" s="7" t="s">
        <v>58</v>
      </c>
      <c r="D23" s="3"/>
      <c r="E23" s="3"/>
      <c r="F23" s="3"/>
      <c r="G23" s="105">
        <v>7</v>
      </c>
      <c r="H23" s="106"/>
      <c r="I23" s="106"/>
      <c r="J23" s="106"/>
      <c r="K23" s="106"/>
      <c r="L23" s="107"/>
      <c r="M23" s="36"/>
      <c r="N23" s="5"/>
      <c r="O23" s="3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 thickBot="1">
      <c r="A24" s="11"/>
      <c r="B24" s="3"/>
      <c r="C24" s="7" t="s">
        <v>57</v>
      </c>
      <c r="D24" s="3"/>
      <c r="E24" s="3"/>
      <c r="F24" s="3"/>
      <c r="G24" s="105">
        <v>2.65</v>
      </c>
      <c r="H24" s="106"/>
      <c r="I24" s="106"/>
      <c r="J24" s="106"/>
      <c r="K24" s="106"/>
      <c r="L24" s="107"/>
      <c r="M24" s="36" t="s">
        <v>27</v>
      </c>
      <c r="N24" s="5"/>
      <c r="O24" s="3"/>
    </row>
    <row r="25" spans="1:27" ht="5.45" customHeight="1" thickBot="1">
      <c r="A25" s="11"/>
      <c r="B25" s="3"/>
      <c r="C25" s="7"/>
      <c r="D25" s="3"/>
      <c r="E25" s="3"/>
      <c r="F25" s="3"/>
      <c r="G25" s="12"/>
      <c r="H25" s="12"/>
      <c r="I25" s="12"/>
      <c r="J25" s="12"/>
      <c r="K25" s="12"/>
      <c r="L25" s="12"/>
      <c r="M25" s="36"/>
      <c r="N25" s="5"/>
      <c r="O25" s="3"/>
    </row>
    <row r="26" spans="1:27" ht="15" customHeight="1" thickBot="1">
      <c r="A26" s="11" t="s">
        <v>55</v>
      </c>
      <c r="B26" s="3" t="s">
        <v>54</v>
      </c>
      <c r="C26" s="17"/>
      <c r="D26" s="17"/>
      <c r="E26" s="17"/>
      <c r="F26" s="17"/>
      <c r="G26" s="3" t="s">
        <v>29</v>
      </c>
      <c r="H26" s="3"/>
      <c r="I26" s="9">
        <v>6.88</v>
      </c>
      <c r="J26" s="3" t="s">
        <v>27</v>
      </c>
      <c r="K26" s="31"/>
      <c r="L26" s="31" t="s">
        <v>28</v>
      </c>
      <c r="M26" s="9">
        <v>7.02</v>
      </c>
      <c r="N26" s="3" t="s">
        <v>27</v>
      </c>
      <c r="O26" s="3"/>
    </row>
    <row r="27" spans="1:27" ht="4.1500000000000004" customHeight="1" thickBot="1">
      <c r="A27" s="11"/>
      <c r="B27" s="3"/>
      <c r="C27" s="3"/>
      <c r="D27" s="3"/>
      <c r="E27" s="3"/>
      <c r="F27" s="3"/>
      <c r="G27" s="17"/>
      <c r="H27" s="17"/>
      <c r="I27" s="17"/>
      <c r="J27" s="17"/>
      <c r="K27" s="17"/>
      <c r="L27" s="17"/>
      <c r="M27" s="36"/>
      <c r="N27" s="5"/>
      <c r="O27" s="3"/>
    </row>
    <row r="28" spans="1:27" ht="15" customHeight="1" thickBot="1">
      <c r="A28" s="11" t="s">
        <v>53</v>
      </c>
      <c r="B28" s="3" t="s">
        <v>52</v>
      </c>
      <c r="C28" s="3"/>
      <c r="D28" s="3" t="s">
        <v>34</v>
      </c>
      <c r="E28" s="3"/>
      <c r="F28" s="3"/>
      <c r="G28" s="105" t="s">
        <v>46</v>
      </c>
      <c r="H28" s="106"/>
      <c r="I28" s="106"/>
      <c r="J28" s="106"/>
      <c r="K28" s="107"/>
      <c r="L28" s="15" t="s">
        <v>32</v>
      </c>
      <c r="M28" s="14">
        <v>0.6</v>
      </c>
      <c r="N28" s="5" t="s">
        <v>27</v>
      </c>
      <c r="O28" s="3"/>
    </row>
    <row r="29" spans="1:27" ht="15" customHeight="1" thickBot="1">
      <c r="A29" s="11" t="s">
        <v>51</v>
      </c>
      <c r="B29" s="3" t="s">
        <v>50</v>
      </c>
      <c r="C29" s="3"/>
      <c r="D29" s="3" t="s">
        <v>34</v>
      </c>
      <c r="E29" s="3"/>
      <c r="F29" s="3"/>
      <c r="G29" s="105" t="s">
        <v>49</v>
      </c>
      <c r="H29" s="106"/>
      <c r="I29" s="106"/>
      <c r="J29" s="106"/>
      <c r="K29" s="107"/>
      <c r="L29" s="15" t="s">
        <v>32</v>
      </c>
      <c r="M29" s="14">
        <v>8.76</v>
      </c>
      <c r="N29" s="5" t="s">
        <v>27</v>
      </c>
      <c r="O29" s="3"/>
    </row>
    <row r="30" spans="1:27" ht="15" customHeight="1" thickBot="1">
      <c r="A30" s="11" t="s">
        <v>48</v>
      </c>
      <c r="B30" s="3" t="s">
        <v>47</v>
      </c>
      <c r="C30" s="3"/>
      <c r="D30" s="3" t="s">
        <v>34</v>
      </c>
      <c r="E30" s="3"/>
      <c r="F30" s="3"/>
      <c r="G30" s="105" t="s">
        <v>46</v>
      </c>
      <c r="H30" s="106"/>
      <c r="I30" s="106"/>
      <c r="J30" s="106"/>
      <c r="K30" s="107"/>
      <c r="L30" s="15" t="s">
        <v>32</v>
      </c>
      <c r="M30" s="14">
        <v>0.7</v>
      </c>
      <c r="N30" s="5" t="s">
        <v>27</v>
      </c>
      <c r="O30" s="3"/>
    </row>
    <row r="31" spans="1:27" ht="4.1500000000000004" customHeight="1" thickBot="1">
      <c r="A31" s="11"/>
      <c r="B31" s="3"/>
      <c r="C31" s="3"/>
      <c r="D31" s="3"/>
      <c r="E31" s="3"/>
      <c r="F31" s="3"/>
      <c r="G31" s="12"/>
      <c r="H31" s="12"/>
      <c r="I31" s="12"/>
      <c r="J31" s="12"/>
      <c r="K31" s="12"/>
      <c r="L31" s="12"/>
      <c r="M31" s="12"/>
      <c r="N31" s="5"/>
      <c r="O31" s="3"/>
    </row>
    <row r="32" spans="1:27" ht="15" customHeight="1" thickBot="1">
      <c r="A32" s="11" t="s">
        <v>45</v>
      </c>
      <c r="B32" s="122" t="s">
        <v>44</v>
      </c>
      <c r="C32" s="122"/>
      <c r="D32" s="122"/>
      <c r="E32" s="122"/>
      <c r="F32" s="122"/>
      <c r="G32" s="3" t="s">
        <v>29</v>
      </c>
      <c r="H32" s="3"/>
      <c r="I32" s="9">
        <v>25.5</v>
      </c>
      <c r="J32" s="3" t="s">
        <v>27</v>
      </c>
      <c r="K32" s="31"/>
      <c r="L32" s="31" t="s">
        <v>28</v>
      </c>
      <c r="M32" s="9">
        <v>27.5</v>
      </c>
      <c r="N32" s="3" t="s">
        <v>27</v>
      </c>
      <c r="O32" s="3"/>
    </row>
    <row r="33" spans="1:15" ht="15" customHeight="1" thickBot="1">
      <c r="A33" s="11"/>
      <c r="B33" s="3" t="s">
        <v>43</v>
      </c>
      <c r="C33" s="3"/>
      <c r="D33" s="3"/>
      <c r="E33" s="3"/>
      <c r="F33" s="3"/>
      <c r="G33" s="17"/>
      <c r="H33" s="17"/>
      <c r="I33" s="16"/>
      <c r="J33" s="17"/>
      <c r="K33" s="17"/>
      <c r="L33" s="17"/>
      <c r="M33" s="16"/>
      <c r="N33" s="5"/>
      <c r="O33" s="3"/>
    </row>
    <row r="34" spans="1:15" ht="15" customHeight="1" thickBot="1">
      <c r="A34" s="11" t="s">
        <v>42</v>
      </c>
      <c r="B34" s="3" t="s">
        <v>41</v>
      </c>
      <c r="C34" s="3"/>
      <c r="D34" s="3" t="s">
        <v>34</v>
      </c>
      <c r="E34" s="3"/>
      <c r="F34" s="3"/>
      <c r="G34" s="105" t="s">
        <v>40</v>
      </c>
      <c r="H34" s="106"/>
      <c r="I34" s="106"/>
      <c r="J34" s="106"/>
      <c r="K34" s="107"/>
      <c r="L34" s="15" t="s">
        <v>32</v>
      </c>
      <c r="M34" s="14">
        <v>0.1</v>
      </c>
      <c r="N34" s="5" t="s">
        <v>27</v>
      </c>
      <c r="O34" s="3"/>
    </row>
    <row r="35" spans="1:15" ht="15" customHeight="1" thickBot="1">
      <c r="A35" s="11" t="s">
        <v>39</v>
      </c>
      <c r="B35" s="3" t="s">
        <v>38</v>
      </c>
      <c r="C35" s="3"/>
      <c r="D35" s="3" t="s">
        <v>34</v>
      </c>
      <c r="E35" s="3"/>
      <c r="F35" s="3"/>
      <c r="G35" s="105" t="s">
        <v>93</v>
      </c>
      <c r="H35" s="106"/>
      <c r="I35" s="106"/>
      <c r="J35" s="106"/>
      <c r="K35" s="107"/>
      <c r="L35" s="15" t="s">
        <v>32</v>
      </c>
      <c r="M35" s="14">
        <v>0.1</v>
      </c>
      <c r="N35" s="5" t="s">
        <v>27</v>
      </c>
      <c r="O35" s="3"/>
    </row>
    <row r="36" spans="1:15" ht="15" customHeight="1" thickBot="1">
      <c r="A36" s="11" t="s">
        <v>36</v>
      </c>
      <c r="B36" s="3" t="s">
        <v>35</v>
      </c>
      <c r="C36" s="3"/>
      <c r="D36" s="3" t="s">
        <v>34</v>
      </c>
      <c r="E36" s="3"/>
      <c r="F36" s="3"/>
      <c r="G36" s="105" t="s">
        <v>94</v>
      </c>
      <c r="H36" s="106"/>
      <c r="I36" s="106"/>
      <c r="J36" s="106"/>
      <c r="K36" s="107"/>
      <c r="L36" s="15" t="s">
        <v>32</v>
      </c>
      <c r="M36" s="14">
        <v>2.0299999999999998</v>
      </c>
      <c r="N36" s="5" t="s">
        <v>27</v>
      </c>
      <c r="O36" s="3"/>
    </row>
    <row r="37" spans="1:15" s="12" customFormat="1" ht="4.1500000000000004" customHeight="1" thickBot="1">
      <c r="M37" s="13"/>
    </row>
    <row r="38" spans="1:15" ht="13.5" thickBot="1">
      <c r="A38" s="11" t="s">
        <v>31</v>
      </c>
      <c r="B38" s="7" t="s">
        <v>30</v>
      </c>
      <c r="C38" s="3"/>
      <c r="D38" s="3"/>
      <c r="E38" s="3"/>
      <c r="F38" s="3"/>
      <c r="G38" s="3" t="s">
        <v>29</v>
      </c>
      <c r="H38" s="3"/>
      <c r="I38" s="9">
        <v>31</v>
      </c>
      <c r="J38" s="3" t="s">
        <v>27</v>
      </c>
      <c r="K38" s="31"/>
      <c r="L38" s="31" t="s">
        <v>28</v>
      </c>
      <c r="M38" s="9">
        <v>35</v>
      </c>
      <c r="N38" s="3" t="s">
        <v>27</v>
      </c>
      <c r="O38" s="3"/>
    </row>
    <row r="39" spans="1:15" ht="5.45" customHeight="1" thickBot="1">
      <c r="A39" s="3"/>
      <c r="B39" s="3"/>
      <c r="C39" s="3"/>
      <c r="D39" s="3"/>
      <c r="E39" s="3"/>
      <c r="F39" s="3"/>
      <c r="G39" s="3"/>
      <c r="H39" s="3"/>
      <c r="I39" s="8"/>
      <c r="J39" s="3"/>
      <c r="K39" s="3"/>
      <c r="L39" s="3"/>
      <c r="M39" s="3"/>
      <c r="N39" s="3"/>
      <c r="O39" s="3"/>
    </row>
    <row r="40" spans="1:15" ht="15" customHeight="1" thickBot="1">
      <c r="A40" s="3" t="s">
        <v>26</v>
      </c>
      <c r="B40" s="3" t="s">
        <v>25</v>
      </c>
      <c r="C40" s="3"/>
      <c r="D40" s="3"/>
      <c r="E40" s="3"/>
      <c r="F40" s="3"/>
      <c r="G40" s="105">
        <v>150</v>
      </c>
      <c r="H40" s="106"/>
      <c r="I40" s="106"/>
      <c r="J40" s="106"/>
      <c r="K40" s="106"/>
      <c r="L40" s="106"/>
      <c r="M40" s="107"/>
      <c r="N40" s="5" t="s">
        <v>24</v>
      </c>
      <c r="O40" s="3"/>
    </row>
    <row r="41" spans="1:15" ht="5.45" customHeight="1" thickBot="1">
      <c r="A41" s="3"/>
      <c r="B41" s="3"/>
      <c r="C41" s="3"/>
      <c r="D41" s="3"/>
      <c r="E41" s="3"/>
      <c r="F41" s="3"/>
      <c r="G41" s="5"/>
      <c r="H41" s="5"/>
      <c r="I41" s="5"/>
      <c r="J41" s="5"/>
      <c r="K41" s="5"/>
      <c r="L41" s="5"/>
      <c r="M41" s="5"/>
      <c r="N41" s="5"/>
      <c r="O41" s="3"/>
    </row>
    <row r="42" spans="1:15" ht="15" customHeight="1" thickBot="1">
      <c r="A42" s="3" t="s">
        <v>23</v>
      </c>
      <c r="B42" s="122" t="s">
        <v>22</v>
      </c>
      <c r="C42" s="122"/>
      <c r="D42" s="122"/>
      <c r="E42" s="122"/>
      <c r="F42" s="122"/>
      <c r="G42" s="122"/>
      <c r="H42" s="122"/>
      <c r="I42" s="122"/>
      <c r="J42" s="122"/>
      <c r="K42" s="123"/>
      <c r="L42" s="105">
        <v>200</v>
      </c>
      <c r="M42" s="107"/>
      <c r="N42" s="36" t="s">
        <v>20</v>
      </c>
      <c r="O42" s="3"/>
    </row>
    <row r="43" spans="1:15" ht="15" customHeight="1" thickBot="1">
      <c r="A43" s="3"/>
      <c r="B43" s="122" t="s">
        <v>21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05">
        <v>160</v>
      </c>
      <c r="M43" s="107"/>
      <c r="N43" s="36" t="s">
        <v>20</v>
      </c>
      <c r="O43" s="3"/>
    </row>
    <row r="44" spans="1:15" ht="15" customHeight="1">
      <c r="A44" s="3"/>
      <c r="B44" s="122" t="s">
        <v>19</v>
      </c>
      <c r="C44" s="122"/>
      <c r="D44" s="122"/>
      <c r="E44" s="122"/>
      <c r="F44" s="122"/>
      <c r="G44" s="122"/>
      <c r="H44" s="122"/>
      <c r="I44" s="122"/>
      <c r="J44" s="122"/>
      <c r="K44" s="122"/>
      <c r="L44" s="5"/>
      <c r="M44" s="5"/>
      <c r="N44" s="5"/>
      <c r="O44" s="3"/>
    </row>
    <row r="45" spans="1:15" ht="15" customHeight="1" thickBot="1">
      <c r="A45" s="3" t="s">
        <v>18</v>
      </c>
      <c r="B45" s="3" t="s">
        <v>17</v>
      </c>
      <c r="C45" s="3"/>
      <c r="D45" s="3"/>
      <c r="E45" s="3"/>
      <c r="F45" s="3"/>
      <c r="G45" s="5"/>
      <c r="H45" s="5"/>
      <c r="I45" s="5"/>
      <c r="J45" s="5"/>
      <c r="K45" s="5"/>
      <c r="L45" s="5"/>
      <c r="M45" s="5"/>
      <c r="N45" s="5"/>
      <c r="O45" s="3"/>
    </row>
    <row r="46" spans="1:15" ht="15" customHeight="1" thickBot="1">
      <c r="A46" s="3"/>
      <c r="B46" s="3"/>
      <c r="C46" s="7" t="s">
        <v>16</v>
      </c>
      <c r="D46" s="3"/>
      <c r="E46" s="3"/>
      <c r="F46" s="3"/>
      <c r="G46" s="105">
        <v>10</v>
      </c>
      <c r="H46" s="106"/>
      <c r="I46" s="106"/>
      <c r="J46" s="106"/>
      <c r="K46" s="106"/>
      <c r="L46" s="107"/>
      <c r="M46" s="3" t="s">
        <v>14</v>
      </c>
      <c r="N46" s="3"/>
      <c r="O46" s="3"/>
    </row>
    <row r="47" spans="1:15" ht="15" customHeight="1" thickBot="1">
      <c r="A47" s="3"/>
      <c r="B47" s="3"/>
      <c r="C47" s="7" t="s">
        <v>15</v>
      </c>
      <c r="D47" s="3"/>
      <c r="E47" s="3"/>
      <c r="F47" s="3"/>
      <c r="G47" s="105">
        <v>10</v>
      </c>
      <c r="H47" s="106"/>
      <c r="I47" s="106"/>
      <c r="J47" s="106"/>
      <c r="K47" s="106"/>
      <c r="L47" s="107"/>
      <c r="M47" s="3" t="s">
        <v>14</v>
      </c>
      <c r="N47" s="5"/>
      <c r="O47" s="3"/>
    </row>
    <row r="48" spans="1:15" ht="15" customHeight="1" thickBot="1">
      <c r="A48" s="3" t="s">
        <v>13</v>
      </c>
      <c r="B48" s="3" t="s">
        <v>12</v>
      </c>
      <c r="C48" s="3"/>
      <c r="D48" s="3"/>
      <c r="E48" s="3"/>
      <c r="F48" s="3"/>
      <c r="G48" s="105">
        <v>0.52400000000000002</v>
      </c>
      <c r="H48" s="106"/>
      <c r="I48" s="106"/>
      <c r="J48" s="106"/>
      <c r="K48" s="106"/>
      <c r="L48" s="107"/>
      <c r="M48" s="3" t="s">
        <v>11</v>
      </c>
      <c r="N48" s="5"/>
      <c r="O48" s="3"/>
    </row>
    <row r="49" spans="1:15" ht="15" customHeight="1" thickBot="1">
      <c r="A49" s="3" t="s">
        <v>10</v>
      </c>
      <c r="B49" s="3" t="s">
        <v>9</v>
      </c>
      <c r="C49" s="3"/>
      <c r="D49" s="3"/>
      <c r="E49" s="3"/>
      <c r="F49" s="3"/>
      <c r="G49" s="105">
        <v>500</v>
      </c>
      <c r="H49" s="106"/>
      <c r="I49" s="106"/>
      <c r="J49" s="106"/>
      <c r="K49" s="106"/>
      <c r="L49" s="107"/>
      <c r="M49" s="36" t="s">
        <v>8</v>
      </c>
      <c r="N49" s="5"/>
      <c r="O49" s="3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6.149999999999999" customHeight="1">
      <c r="A52" s="140" t="s">
        <v>7</v>
      </c>
      <c r="B52" s="140"/>
      <c r="C52" s="125" t="s">
        <v>6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3"/>
    </row>
    <row r="53" spans="1:15" ht="16.149999999999999" customHeight="1">
      <c r="A53" s="140" t="s">
        <v>5</v>
      </c>
      <c r="B53" s="140"/>
      <c r="C53" s="125" t="s">
        <v>4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3"/>
    </row>
    <row r="63" spans="1:15" hidden="1">
      <c r="B63" s="2" t="s">
        <v>3</v>
      </c>
    </row>
    <row r="64" spans="1:15" hidden="1">
      <c r="B64" s="2" t="s">
        <v>2</v>
      </c>
    </row>
    <row r="65" spans="2:2" hidden="1">
      <c r="B65" s="2" t="s">
        <v>1</v>
      </c>
    </row>
    <row r="66" spans="2:2" hidden="1">
      <c r="B66" s="2" t="s">
        <v>0</v>
      </c>
    </row>
  </sheetData>
  <sheetProtection sheet="1" formatColumns="0" formatRows="0"/>
  <mergeCells count="37">
    <mergeCell ref="B32:F32"/>
    <mergeCell ref="G34:K34"/>
    <mergeCell ref="G35:K35"/>
    <mergeCell ref="G36:K36"/>
    <mergeCell ref="G40:M40"/>
    <mergeCell ref="G23:L23"/>
    <mergeCell ref="G24:L24"/>
    <mergeCell ref="G28:K28"/>
    <mergeCell ref="A53:B53"/>
    <mergeCell ref="C53:N53"/>
    <mergeCell ref="B42:K42"/>
    <mergeCell ref="L42:M42"/>
    <mergeCell ref="B43:K43"/>
    <mergeCell ref="L43:M43"/>
    <mergeCell ref="B44:K44"/>
    <mergeCell ref="G46:L46"/>
    <mergeCell ref="G47:L47"/>
    <mergeCell ref="G48:L48"/>
    <mergeCell ref="G49:L49"/>
    <mergeCell ref="A52:B52"/>
    <mergeCell ref="C52:N52"/>
    <mergeCell ref="G29:K29"/>
    <mergeCell ref="G30:K30"/>
    <mergeCell ref="G20:L20"/>
    <mergeCell ref="A1:N1"/>
    <mergeCell ref="M2:N2"/>
    <mergeCell ref="M3:N3"/>
    <mergeCell ref="K6:N6"/>
    <mergeCell ref="C7:D7"/>
    <mergeCell ref="J7:N7"/>
    <mergeCell ref="G11:M11"/>
    <mergeCell ref="G12:M12"/>
    <mergeCell ref="G14:M14"/>
    <mergeCell ref="G16:M16"/>
    <mergeCell ref="G18:N18"/>
    <mergeCell ref="G21:L21"/>
    <mergeCell ref="G22:L22"/>
  </mergeCells>
  <conditionalFormatting sqref="A1 O1:XFD3 A2:M3 A4:XFD12 A13:R23 AB13:XFD23 A24:XFD24 A25:F25 M25:XFD25 A27:F27 M27:XFD27 A28:XFD30 N31:XFD31 A31:F33 N33:XFD33 A34:XFD36 A38:XFD51 A52:A53 A54:XFD54 A55:A59 C55:XFD59 A60:XFD65 B66 A66:A67 C66:XFD67 A68:XFD1048576">
    <cfRule type="expression" dxfId="70" priority="6">
      <formula>CELL("protect", INDIRECT(ADDRESS(ROW(), COLUMN())))=0</formula>
    </cfRule>
  </conditionalFormatting>
  <conditionalFormatting sqref="A26:B26">
    <cfRule type="expression" dxfId="69" priority="5">
      <formula>CELL("protect", INDIRECT(ADDRESS(ROW(), COLUMN())))=0</formula>
    </cfRule>
  </conditionalFormatting>
  <conditionalFormatting sqref="C52:XFD53">
    <cfRule type="expression" dxfId="68" priority="4">
      <formula>CELL("protect", INDIRECT(ADDRESS(ROW(), COLUMN())))=0</formula>
    </cfRule>
  </conditionalFormatting>
  <conditionalFormatting sqref="G18">
    <cfRule type="expression" dxfId="67" priority="3">
      <formula>CELL("protect", INDIRECT(ADDRESS(ROW(), COLUMN())))=0</formula>
    </cfRule>
  </conditionalFormatting>
  <conditionalFormatting sqref="G26:XFD26">
    <cfRule type="expression" dxfId="66" priority="2">
      <formula>CELL("protect", INDIRECT(ADDRESS(ROW(), COLUMN())))=0</formula>
    </cfRule>
  </conditionalFormatting>
  <conditionalFormatting sqref="G32:XFD32">
    <cfRule type="expression" dxfId="65" priority="1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3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6"/>
  <sheetViews>
    <sheetView view="pageBreakPreview" topLeftCell="A16" zoomScale="115" zoomScaleNormal="85" zoomScaleSheetLayoutView="115" workbookViewId="0">
      <selection activeCell="G49" sqref="G49:L49"/>
    </sheetView>
  </sheetViews>
  <sheetFormatPr defaultColWidth="8.85546875" defaultRowHeight="12.75"/>
  <cols>
    <col min="1" max="1" width="2.42578125" style="1" customWidth="1"/>
    <col min="2" max="2" width="6.42578125" style="1" customWidth="1"/>
    <col min="3" max="3" width="8.85546875" style="1"/>
    <col min="4" max="4" width="8.140625" style="1" customWidth="1"/>
    <col min="5" max="5" width="24.7109375" style="1" customWidth="1"/>
    <col min="6" max="6" width="3.42578125" style="1" customWidth="1"/>
    <col min="7" max="7" width="2.85546875" style="1" customWidth="1"/>
    <col min="8" max="8" width="1.140625" style="1" customWidth="1"/>
    <col min="9" max="9" width="14.28515625" style="1" customWidth="1"/>
    <col min="10" max="10" width="3.42578125" style="1" customWidth="1"/>
    <col min="11" max="11" width="7" style="1" customWidth="1"/>
    <col min="12" max="12" width="2.140625" style="1" customWidth="1"/>
    <col min="13" max="13" width="15.5703125" style="1" customWidth="1"/>
    <col min="14" max="14" width="3.42578125" style="1" customWidth="1"/>
    <col min="15" max="16384" width="8.85546875" style="1"/>
  </cols>
  <sheetData>
    <row r="1" spans="1:27" ht="22.9" customHeight="1">
      <c r="A1" s="97" t="s">
        <v>89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22"/>
    </row>
    <row r="2" spans="1:27" ht="13.15" customHeight="1">
      <c r="M2" s="139" t="s">
        <v>88</v>
      </c>
      <c r="N2" s="139"/>
      <c r="O2" s="29"/>
    </row>
    <row r="3" spans="1:27" ht="13.15" customHeight="1">
      <c r="M3" s="121" t="s">
        <v>87</v>
      </c>
      <c r="N3" s="121"/>
      <c r="O3" s="29"/>
    </row>
    <row r="4" spans="1:27" ht="7.15" customHeight="1"/>
    <row r="5" spans="1:27" ht="13.5" thickBot="1">
      <c r="A5" s="22" t="s">
        <v>86</v>
      </c>
      <c r="G5" s="22"/>
    </row>
    <row r="6" spans="1:27" ht="13.5" thickBot="1">
      <c r="A6" s="22" t="s">
        <v>85</v>
      </c>
      <c r="C6" s="28"/>
      <c r="D6" s="28"/>
      <c r="E6" s="27" t="s">
        <v>84</v>
      </c>
      <c r="G6" s="22" t="s">
        <v>83</v>
      </c>
      <c r="K6" s="26"/>
      <c r="L6" s="25"/>
      <c r="M6" s="25" t="s">
        <v>82</v>
      </c>
      <c r="N6" s="24"/>
    </row>
    <row r="7" spans="1:27" ht="13.5" thickBot="1">
      <c r="A7" s="22" t="s">
        <v>81</v>
      </c>
      <c r="C7" s="103" t="s">
        <v>80</v>
      </c>
      <c r="D7" s="104"/>
      <c r="E7" s="23"/>
      <c r="G7" s="22" t="s">
        <v>79</v>
      </c>
      <c r="J7" s="103" t="s">
        <v>78</v>
      </c>
      <c r="K7" s="108"/>
      <c r="L7" s="108"/>
      <c r="M7" s="108"/>
      <c r="N7" s="104"/>
    </row>
    <row r="8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7">
      <c r="A9" s="3"/>
      <c r="B9" s="3"/>
      <c r="C9" s="3"/>
      <c r="D9" s="3"/>
      <c r="E9" s="21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7" ht="13.5" thickBot="1">
      <c r="A10" s="11" t="s">
        <v>77</v>
      </c>
      <c r="B10" s="3" t="s">
        <v>76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7" ht="13.5" thickBot="1">
      <c r="A11" s="11"/>
      <c r="B11" s="7"/>
      <c r="C11" s="7" t="s">
        <v>75</v>
      </c>
      <c r="D11" s="3"/>
      <c r="E11" s="3"/>
      <c r="F11" s="3"/>
      <c r="G11" s="105" t="s">
        <v>74</v>
      </c>
      <c r="H11" s="106"/>
      <c r="I11" s="106"/>
      <c r="J11" s="106"/>
      <c r="K11" s="106"/>
      <c r="L11" s="106"/>
      <c r="M11" s="107"/>
      <c r="N11" s="5"/>
      <c r="O11" s="3"/>
    </row>
    <row r="12" spans="1:27" ht="13.5" thickBot="1">
      <c r="A12" s="11"/>
      <c r="B12" s="7"/>
      <c r="C12" s="7" t="s">
        <v>73</v>
      </c>
      <c r="D12" s="3"/>
      <c r="E12" s="3"/>
      <c r="F12" s="3"/>
      <c r="G12" s="105" t="s">
        <v>72</v>
      </c>
      <c r="H12" s="106"/>
      <c r="I12" s="106"/>
      <c r="J12" s="106"/>
      <c r="K12" s="106"/>
      <c r="L12" s="106"/>
      <c r="M12" s="107"/>
      <c r="N12" s="5"/>
      <c r="O12" s="3"/>
    </row>
    <row r="13" spans="1:27" ht="7.15" customHeight="1" thickBot="1">
      <c r="A13" s="11"/>
      <c r="B13" s="7"/>
      <c r="C13" s="7"/>
      <c r="D13" s="3"/>
      <c r="E13" s="3"/>
      <c r="F13" s="3"/>
      <c r="G13" s="20"/>
      <c r="H13" s="20"/>
      <c r="I13" s="20"/>
      <c r="J13" s="20"/>
      <c r="K13" s="20"/>
      <c r="L13" s="20"/>
      <c r="M13" s="20"/>
      <c r="N13" s="5"/>
      <c r="O13" s="3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 thickBot="1">
      <c r="A14" s="11" t="s">
        <v>71</v>
      </c>
      <c r="B14" s="3" t="s">
        <v>70</v>
      </c>
      <c r="C14" s="3"/>
      <c r="D14" s="3"/>
      <c r="E14" s="3"/>
      <c r="F14" s="3"/>
      <c r="G14" s="105" t="s">
        <v>69</v>
      </c>
      <c r="H14" s="106"/>
      <c r="I14" s="106"/>
      <c r="J14" s="106"/>
      <c r="K14" s="106"/>
      <c r="L14" s="106"/>
      <c r="M14" s="107"/>
      <c r="N14" s="5"/>
      <c r="O14" s="3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7.15" customHeight="1" thickBot="1">
      <c r="A15" s="11"/>
      <c r="B15" s="3"/>
      <c r="C15" s="3"/>
      <c r="D15" s="3"/>
      <c r="E15" s="3"/>
      <c r="F15" s="3"/>
      <c r="G15" s="5"/>
      <c r="H15" s="5"/>
      <c r="I15" s="5"/>
      <c r="J15" s="5"/>
      <c r="K15" s="5"/>
      <c r="L15" s="5"/>
      <c r="M15" s="5"/>
      <c r="N15" s="5"/>
      <c r="O15" s="3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 thickBot="1">
      <c r="A16" s="11" t="s">
        <v>68</v>
      </c>
      <c r="B16" s="3" t="s">
        <v>67</v>
      </c>
      <c r="C16" s="3"/>
      <c r="D16" s="3"/>
      <c r="E16" s="3"/>
      <c r="F16" s="3"/>
      <c r="G16" s="94" t="s">
        <v>3</v>
      </c>
      <c r="H16" s="95"/>
      <c r="I16" s="95"/>
      <c r="J16" s="95"/>
      <c r="K16" s="95"/>
      <c r="L16" s="95"/>
      <c r="M16" s="96"/>
      <c r="N16" s="17"/>
      <c r="O16" s="3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 thickBot="1">
      <c r="A17" s="11"/>
      <c r="B17" s="3"/>
      <c r="C17" s="3"/>
      <c r="D17" s="3"/>
      <c r="E17" s="3"/>
      <c r="F17" s="3"/>
      <c r="G17" s="3" t="s">
        <v>66</v>
      </c>
      <c r="H17" s="3"/>
      <c r="I17" s="6"/>
      <c r="J17" s="6"/>
      <c r="K17" s="6"/>
      <c r="L17" s="6"/>
      <c r="M17" s="6"/>
      <c r="N17" s="6"/>
      <c r="O17" s="3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42" customHeight="1" thickBot="1">
      <c r="A18" s="11"/>
      <c r="B18" s="3"/>
      <c r="C18" s="3"/>
      <c r="D18" s="3"/>
      <c r="E18" s="19"/>
      <c r="F18" s="3"/>
      <c r="G18" s="142"/>
      <c r="H18" s="143"/>
      <c r="I18" s="143"/>
      <c r="J18" s="143"/>
      <c r="K18" s="143"/>
      <c r="L18" s="143"/>
      <c r="M18" s="143"/>
      <c r="N18" s="144"/>
      <c r="O18" s="3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7.15" customHeight="1" thickBot="1">
      <c r="A19" s="11"/>
      <c r="B19" s="3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3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 thickBot="1">
      <c r="A20" s="11" t="s">
        <v>65</v>
      </c>
      <c r="B20" s="3" t="s">
        <v>64</v>
      </c>
      <c r="C20" s="3"/>
      <c r="D20" s="3"/>
      <c r="E20" s="3"/>
      <c r="F20" s="3"/>
      <c r="G20" s="105">
        <v>25</v>
      </c>
      <c r="H20" s="106"/>
      <c r="I20" s="106"/>
      <c r="J20" s="106"/>
      <c r="K20" s="106"/>
      <c r="L20" s="107"/>
      <c r="M20" s="6" t="s">
        <v>24</v>
      </c>
      <c r="N20" s="5"/>
      <c r="O20" s="3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 thickBot="1">
      <c r="A21" s="11" t="s">
        <v>63</v>
      </c>
      <c r="B21" s="3" t="s">
        <v>62</v>
      </c>
      <c r="C21" s="3"/>
      <c r="D21" s="3"/>
      <c r="E21" s="3"/>
      <c r="F21" s="3"/>
      <c r="G21" s="105">
        <v>33.6</v>
      </c>
      <c r="H21" s="106"/>
      <c r="I21" s="106"/>
      <c r="J21" s="106"/>
      <c r="K21" s="106"/>
      <c r="L21" s="107"/>
      <c r="M21" s="3" t="s">
        <v>61</v>
      </c>
      <c r="N21" s="5"/>
      <c r="O21" s="3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 thickBot="1">
      <c r="A22" s="11"/>
      <c r="B22" s="3"/>
      <c r="C22" s="7" t="s">
        <v>60</v>
      </c>
      <c r="D22" s="3"/>
      <c r="E22" s="3"/>
      <c r="F22" s="3"/>
      <c r="G22" s="105" t="s">
        <v>59</v>
      </c>
      <c r="H22" s="106"/>
      <c r="I22" s="106"/>
      <c r="J22" s="106"/>
      <c r="K22" s="106"/>
      <c r="L22" s="107"/>
      <c r="M22" s="6"/>
      <c r="N22" s="5"/>
      <c r="O22" s="3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 thickBot="1">
      <c r="A23" s="11"/>
      <c r="B23" s="3"/>
      <c r="C23" s="7" t="s">
        <v>58</v>
      </c>
      <c r="D23" s="3"/>
      <c r="E23" s="3"/>
      <c r="F23" s="3"/>
      <c r="G23" s="105">
        <v>7</v>
      </c>
      <c r="H23" s="106"/>
      <c r="I23" s="106"/>
      <c r="J23" s="106"/>
      <c r="K23" s="106"/>
      <c r="L23" s="107"/>
      <c r="M23" s="6"/>
      <c r="N23" s="5"/>
      <c r="O23" s="3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 thickBot="1">
      <c r="A24" s="11"/>
      <c r="B24" s="3"/>
      <c r="C24" s="7" t="s">
        <v>57</v>
      </c>
      <c r="D24" s="3"/>
      <c r="E24" s="3"/>
      <c r="F24" s="3"/>
      <c r="G24" s="105" t="s">
        <v>56</v>
      </c>
      <c r="H24" s="106"/>
      <c r="I24" s="106"/>
      <c r="J24" s="106"/>
      <c r="K24" s="106"/>
      <c r="L24" s="107"/>
      <c r="M24" s="6" t="s">
        <v>27</v>
      </c>
      <c r="N24" s="5"/>
      <c r="O24" s="3"/>
    </row>
    <row r="25" spans="1:27" ht="5.45" customHeight="1" thickBot="1">
      <c r="A25" s="11"/>
      <c r="B25" s="3"/>
      <c r="C25" s="7"/>
      <c r="D25" s="3"/>
      <c r="E25" s="3"/>
      <c r="F25" s="3"/>
      <c r="G25" s="12"/>
      <c r="H25" s="12"/>
      <c r="I25" s="12"/>
      <c r="J25" s="12"/>
      <c r="K25" s="12"/>
      <c r="L25" s="12"/>
      <c r="M25" s="6"/>
      <c r="N25" s="5"/>
      <c r="O25" s="3"/>
    </row>
    <row r="26" spans="1:27" ht="15" customHeight="1" thickBot="1">
      <c r="A26" s="11" t="s">
        <v>55</v>
      </c>
      <c r="B26" s="3" t="s">
        <v>54</v>
      </c>
      <c r="C26" s="17"/>
      <c r="D26" s="17"/>
      <c r="E26" s="17"/>
      <c r="F26" s="17"/>
      <c r="G26" s="3" t="s">
        <v>29</v>
      </c>
      <c r="H26" s="3"/>
      <c r="I26" s="9">
        <v>6.85</v>
      </c>
      <c r="J26" s="3" t="s">
        <v>27</v>
      </c>
      <c r="K26" s="10"/>
      <c r="L26" s="10" t="s">
        <v>28</v>
      </c>
      <c r="M26" s="9">
        <v>7.02</v>
      </c>
      <c r="N26" s="3" t="s">
        <v>27</v>
      </c>
      <c r="O26" s="3"/>
    </row>
    <row r="27" spans="1:27" ht="4.1500000000000004" customHeight="1" thickBot="1">
      <c r="A27" s="11"/>
      <c r="B27" s="3"/>
      <c r="C27" s="3"/>
      <c r="D27" s="3"/>
      <c r="E27" s="3"/>
      <c r="F27" s="3"/>
      <c r="G27" s="17"/>
      <c r="H27" s="17"/>
      <c r="I27" s="17"/>
      <c r="J27" s="17"/>
      <c r="K27" s="17"/>
      <c r="L27" s="17"/>
      <c r="M27" s="6"/>
      <c r="N27" s="5"/>
      <c r="O27" s="3"/>
    </row>
    <row r="28" spans="1:27" ht="15" customHeight="1" thickBot="1">
      <c r="A28" s="11" t="s">
        <v>53</v>
      </c>
      <c r="B28" s="3" t="s">
        <v>52</v>
      </c>
      <c r="C28" s="3"/>
      <c r="D28" s="3" t="s">
        <v>34</v>
      </c>
      <c r="E28" s="3"/>
      <c r="F28" s="3"/>
      <c r="G28" s="105" t="s">
        <v>46</v>
      </c>
      <c r="H28" s="106"/>
      <c r="I28" s="106"/>
      <c r="J28" s="106"/>
      <c r="K28" s="107"/>
      <c r="L28" s="15" t="s">
        <v>32</v>
      </c>
      <c r="M28" s="14">
        <v>0.6</v>
      </c>
      <c r="N28" s="5" t="s">
        <v>27</v>
      </c>
      <c r="O28" s="3"/>
    </row>
    <row r="29" spans="1:27" ht="15" customHeight="1" thickBot="1">
      <c r="A29" s="11" t="s">
        <v>51</v>
      </c>
      <c r="B29" s="3" t="s">
        <v>50</v>
      </c>
      <c r="C29" s="3"/>
      <c r="D29" s="3" t="s">
        <v>34</v>
      </c>
      <c r="E29" s="3"/>
      <c r="F29" s="3"/>
      <c r="G29" s="105" t="s">
        <v>49</v>
      </c>
      <c r="H29" s="106"/>
      <c r="I29" s="106"/>
      <c r="J29" s="106"/>
      <c r="K29" s="107"/>
      <c r="L29" s="15" t="s">
        <v>32</v>
      </c>
      <c r="M29" s="14">
        <v>8.76</v>
      </c>
      <c r="N29" s="5" t="s">
        <v>27</v>
      </c>
      <c r="O29" s="3"/>
    </row>
    <row r="30" spans="1:27" ht="15" customHeight="1" thickBot="1">
      <c r="A30" s="11" t="s">
        <v>48</v>
      </c>
      <c r="B30" s="3" t="s">
        <v>47</v>
      </c>
      <c r="C30" s="3"/>
      <c r="D30" s="3" t="s">
        <v>34</v>
      </c>
      <c r="E30" s="3"/>
      <c r="F30" s="3"/>
      <c r="G30" s="105" t="s">
        <v>46</v>
      </c>
      <c r="H30" s="106"/>
      <c r="I30" s="106"/>
      <c r="J30" s="106"/>
      <c r="K30" s="107"/>
      <c r="L30" s="15" t="s">
        <v>32</v>
      </c>
      <c r="M30" s="14">
        <v>0.6</v>
      </c>
      <c r="N30" s="5" t="s">
        <v>27</v>
      </c>
      <c r="O30" s="3"/>
    </row>
    <row r="31" spans="1:27" ht="4.1500000000000004" customHeight="1" thickBot="1">
      <c r="A31" s="11"/>
      <c r="B31" s="3"/>
      <c r="C31" s="3"/>
      <c r="D31" s="3"/>
      <c r="E31" s="3"/>
      <c r="F31" s="3"/>
      <c r="G31" s="12"/>
      <c r="H31" s="12"/>
      <c r="I31" s="12"/>
      <c r="J31" s="12"/>
      <c r="K31" s="12"/>
      <c r="L31" s="12"/>
      <c r="M31" s="12"/>
      <c r="N31" s="5"/>
      <c r="O31" s="3"/>
    </row>
    <row r="32" spans="1:27" ht="15" customHeight="1" thickBot="1">
      <c r="A32" s="11" t="s">
        <v>45</v>
      </c>
      <c r="B32" s="122" t="s">
        <v>44</v>
      </c>
      <c r="C32" s="122"/>
      <c r="D32" s="122"/>
      <c r="E32" s="122"/>
      <c r="F32" s="122"/>
      <c r="G32" s="3" t="s">
        <v>29</v>
      </c>
      <c r="H32" s="3"/>
      <c r="I32" s="9">
        <v>26.7</v>
      </c>
      <c r="J32" s="3" t="s">
        <v>27</v>
      </c>
      <c r="K32" s="30"/>
      <c r="L32" s="30" t="s">
        <v>28</v>
      </c>
      <c r="M32" s="9">
        <v>29.8</v>
      </c>
      <c r="N32" s="3" t="s">
        <v>27</v>
      </c>
      <c r="O32" s="3"/>
    </row>
    <row r="33" spans="1:15" ht="15" customHeight="1" thickBot="1">
      <c r="A33" s="11"/>
      <c r="B33" s="3" t="s">
        <v>43</v>
      </c>
      <c r="C33" s="3"/>
      <c r="D33" s="3"/>
      <c r="E33" s="3"/>
      <c r="F33" s="3"/>
      <c r="G33" s="17"/>
      <c r="H33" s="17"/>
      <c r="I33" s="18"/>
      <c r="J33" s="17"/>
      <c r="K33" s="17"/>
      <c r="L33" s="17"/>
      <c r="M33" s="16"/>
      <c r="N33" s="5"/>
      <c r="O33" s="3"/>
    </row>
    <row r="34" spans="1:15" ht="15" customHeight="1" thickBot="1">
      <c r="A34" s="11" t="s">
        <v>42</v>
      </c>
      <c r="B34" s="3" t="s">
        <v>41</v>
      </c>
      <c r="C34" s="3"/>
      <c r="D34" s="3" t="s">
        <v>34</v>
      </c>
      <c r="E34" s="3"/>
      <c r="F34" s="3"/>
      <c r="G34" s="105" t="s">
        <v>40</v>
      </c>
      <c r="H34" s="106"/>
      <c r="I34" s="106"/>
      <c r="J34" s="106"/>
      <c r="K34" s="107"/>
      <c r="L34" s="15" t="s">
        <v>32</v>
      </c>
      <c r="M34" s="14">
        <v>0.1</v>
      </c>
      <c r="N34" s="5" t="s">
        <v>27</v>
      </c>
      <c r="O34" s="3"/>
    </row>
    <row r="35" spans="1:15" ht="15" customHeight="1" thickBot="1">
      <c r="A35" s="11" t="s">
        <v>39</v>
      </c>
      <c r="B35" s="3" t="s">
        <v>38</v>
      </c>
      <c r="C35" s="3"/>
      <c r="D35" s="3" t="s">
        <v>34</v>
      </c>
      <c r="E35" s="3"/>
      <c r="F35" s="3"/>
      <c r="G35" s="105" t="s">
        <v>37</v>
      </c>
      <c r="H35" s="106"/>
      <c r="I35" s="106"/>
      <c r="J35" s="106"/>
      <c r="K35" s="107"/>
      <c r="L35" s="15" t="s">
        <v>32</v>
      </c>
      <c r="M35" s="14">
        <v>0.3</v>
      </c>
      <c r="N35" s="5" t="s">
        <v>27</v>
      </c>
      <c r="O35" s="3"/>
    </row>
    <row r="36" spans="1:15" ht="15" customHeight="1" thickBot="1">
      <c r="A36" s="11" t="s">
        <v>36</v>
      </c>
      <c r="B36" s="3" t="s">
        <v>35</v>
      </c>
      <c r="C36" s="3"/>
      <c r="D36" s="3" t="s">
        <v>34</v>
      </c>
      <c r="E36" s="3"/>
      <c r="F36" s="3"/>
      <c r="G36" s="105" t="s">
        <v>33</v>
      </c>
      <c r="H36" s="106"/>
      <c r="I36" s="106"/>
      <c r="J36" s="106"/>
      <c r="K36" s="107"/>
      <c r="L36" s="15" t="s">
        <v>32</v>
      </c>
      <c r="M36" s="14">
        <v>2.0299999999999998</v>
      </c>
      <c r="N36" s="5" t="s">
        <v>27</v>
      </c>
      <c r="O36" s="3"/>
    </row>
    <row r="37" spans="1:15" s="12" customFormat="1" ht="4.1500000000000004" customHeight="1" thickBot="1">
      <c r="M37" s="13"/>
    </row>
    <row r="38" spans="1:15" ht="13.5" thickBot="1">
      <c r="A38" s="11" t="s">
        <v>31</v>
      </c>
      <c r="B38" s="7" t="s">
        <v>30</v>
      </c>
      <c r="C38" s="3"/>
      <c r="D38" s="3"/>
      <c r="E38" s="3"/>
      <c r="F38" s="3"/>
      <c r="G38" s="3" t="s">
        <v>29</v>
      </c>
      <c r="H38" s="3"/>
      <c r="I38" s="9">
        <v>31</v>
      </c>
      <c r="J38" s="3" t="s">
        <v>27</v>
      </c>
      <c r="K38" s="10"/>
      <c r="L38" s="10" t="s">
        <v>28</v>
      </c>
      <c r="M38" s="9">
        <v>35</v>
      </c>
      <c r="N38" s="3" t="s">
        <v>27</v>
      </c>
      <c r="O38" s="3"/>
    </row>
    <row r="39" spans="1:15" ht="5.45" customHeight="1" thickBot="1">
      <c r="A39" s="3"/>
      <c r="B39" s="3"/>
      <c r="C39" s="3"/>
      <c r="D39" s="3"/>
      <c r="E39" s="3"/>
      <c r="F39" s="3"/>
      <c r="G39" s="3"/>
      <c r="H39" s="3"/>
      <c r="I39" s="8"/>
      <c r="J39" s="3"/>
      <c r="K39" s="3"/>
      <c r="L39" s="3"/>
      <c r="M39" s="3"/>
      <c r="N39" s="3"/>
      <c r="O39" s="3"/>
    </row>
    <row r="40" spans="1:15" ht="15" customHeight="1" thickBot="1">
      <c r="A40" s="3" t="s">
        <v>26</v>
      </c>
      <c r="B40" s="3" t="s">
        <v>25</v>
      </c>
      <c r="C40" s="3"/>
      <c r="D40" s="3"/>
      <c r="E40" s="3"/>
      <c r="F40" s="3"/>
      <c r="G40" s="105">
        <v>150</v>
      </c>
      <c r="H40" s="106"/>
      <c r="I40" s="106"/>
      <c r="J40" s="106"/>
      <c r="K40" s="106"/>
      <c r="L40" s="106"/>
      <c r="M40" s="107"/>
      <c r="N40" s="5" t="s">
        <v>24</v>
      </c>
      <c r="O40" s="3"/>
    </row>
    <row r="41" spans="1:15" ht="5.45" customHeight="1" thickBot="1">
      <c r="A41" s="3"/>
      <c r="B41" s="3"/>
      <c r="C41" s="3"/>
      <c r="D41" s="3"/>
      <c r="E41" s="3"/>
      <c r="F41" s="3"/>
      <c r="G41" s="5"/>
      <c r="H41" s="5"/>
      <c r="I41" s="5"/>
      <c r="J41" s="5"/>
      <c r="K41" s="5"/>
      <c r="L41" s="5"/>
      <c r="M41" s="5"/>
      <c r="N41" s="5"/>
      <c r="O41" s="3"/>
    </row>
    <row r="42" spans="1:15" ht="15" customHeight="1" thickBot="1">
      <c r="A42" s="3" t="s">
        <v>23</v>
      </c>
      <c r="B42" s="122" t="s">
        <v>22</v>
      </c>
      <c r="C42" s="122"/>
      <c r="D42" s="122"/>
      <c r="E42" s="122"/>
      <c r="F42" s="122"/>
      <c r="G42" s="122"/>
      <c r="H42" s="122"/>
      <c r="I42" s="122"/>
      <c r="J42" s="122"/>
      <c r="K42" s="123"/>
      <c r="L42" s="105">
        <v>198</v>
      </c>
      <c r="M42" s="107"/>
      <c r="N42" s="6" t="s">
        <v>20</v>
      </c>
      <c r="O42" s="3"/>
    </row>
    <row r="43" spans="1:15" ht="15" customHeight="1" thickBot="1">
      <c r="A43" s="3"/>
      <c r="B43" s="122" t="s">
        <v>21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05">
        <v>162</v>
      </c>
      <c r="M43" s="107"/>
      <c r="N43" s="6" t="s">
        <v>20</v>
      </c>
      <c r="O43" s="3"/>
    </row>
    <row r="44" spans="1:15" ht="15" customHeight="1">
      <c r="A44" s="3"/>
      <c r="B44" s="122" t="s">
        <v>19</v>
      </c>
      <c r="C44" s="122"/>
      <c r="D44" s="122"/>
      <c r="E44" s="122"/>
      <c r="F44" s="122"/>
      <c r="G44" s="122"/>
      <c r="H44" s="122"/>
      <c r="I44" s="122"/>
      <c r="J44" s="122"/>
      <c r="K44" s="122"/>
      <c r="L44" s="5"/>
      <c r="M44" s="5"/>
      <c r="N44" s="5"/>
      <c r="O44" s="3"/>
    </row>
    <row r="45" spans="1:15" ht="15" customHeight="1" thickBot="1">
      <c r="A45" s="3" t="s">
        <v>18</v>
      </c>
      <c r="B45" s="3" t="s">
        <v>17</v>
      </c>
      <c r="C45" s="3"/>
      <c r="D45" s="3"/>
      <c r="E45" s="3"/>
      <c r="F45" s="3"/>
      <c r="G45" s="5"/>
      <c r="H45" s="5"/>
      <c r="I45" s="5"/>
      <c r="J45" s="5"/>
      <c r="K45" s="5"/>
      <c r="L45" s="5"/>
      <c r="M45" s="5"/>
      <c r="N45" s="5"/>
      <c r="O45" s="3"/>
    </row>
    <row r="46" spans="1:15" ht="15" customHeight="1" thickBot="1">
      <c r="A46" s="3"/>
      <c r="B46" s="3"/>
      <c r="C46" s="7" t="s">
        <v>16</v>
      </c>
      <c r="D46" s="3"/>
      <c r="E46" s="3"/>
      <c r="F46" s="3"/>
      <c r="G46" s="105">
        <v>20</v>
      </c>
      <c r="H46" s="106"/>
      <c r="I46" s="106"/>
      <c r="J46" s="106"/>
      <c r="K46" s="106"/>
      <c r="L46" s="107"/>
      <c r="M46" s="3" t="s">
        <v>14</v>
      </c>
      <c r="N46" s="3"/>
      <c r="O46" s="3"/>
    </row>
    <row r="47" spans="1:15" ht="15" customHeight="1" thickBot="1">
      <c r="A47" s="3"/>
      <c r="B47" s="3"/>
      <c r="C47" s="7" t="s">
        <v>15</v>
      </c>
      <c r="D47" s="3"/>
      <c r="E47" s="3"/>
      <c r="F47" s="3"/>
      <c r="G47" s="105">
        <v>15</v>
      </c>
      <c r="H47" s="106"/>
      <c r="I47" s="106"/>
      <c r="J47" s="106"/>
      <c r="K47" s="106"/>
      <c r="L47" s="107"/>
      <c r="M47" s="3" t="s">
        <v>14</v>
      </c>
      <c r="N47" s="5"/>
      <c r="O47" s="3"/>
    </row>
    <row r="48" spans="1:15" ht="15" customHeight="1" thickBot="1">
      <c r="A48" s="3" t="s">
        <v>13</v>
      </c>
      <c r="B48" s="3" t="s">
        <v>12</v>
      </c>
      <c r="C48" s="3"/>
      <c r="D48" s="3"/>
      <c r="E48" s="3"/>
      <c r="F48" s="3"/>
      <c r="G48" s="105">
        <v>0.52400000000000002</v>
      </c>
      <c r="H48" s="106"/>
      <c r="I48" s="106"/>
      <c r="J48" s="106"/>
      <c r="K48" s="106"/>
      <c r="L48" s="107"/>
      <c r="M48" s="3" t="s">
        <v>11</v>
      </c>
      <c r="N48" s="5"/>
      <c r="O48" s="3"/>
    </row>
    <row r="49" spans="1:15" ht="15" customHeight="1" thickBot="1">
      <c r="A49" s="3" t="s">
        <v>10</v>
      </c>
      <c r="B49" s="3" t="s">
        <v>9</v>
      </c>
      <c r="C49" s="3"/>
      <c r="D49" s="3"/>
      <c r="E49" s="3"/>
      <c r="F49" s="3"/>
      <c r="G49" s="141">
        <v>1000</v>
      </c>
      <c r="H49" s="106"/>
      <c r="I49" s="106"/>
      <c r="J49" s="106"/>
      <c r="K49" s="106"/>
      <c r="L49" s="107"/>
      <c r="M49" s="6" t="s">
        <v>8</v>
      </c>
      <c r="N49" s="5"/>
      <c r="O49" s="3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6.149999999999999" customHeight="1">
      <c r="A52" s="140" t="s">
        <v>7</v>
      </c>
      <c r="B52" s="140"/>
      <c r="C52" s="125" t="s">
        <v>6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3"/>
    </row>
    <row r="53" spans="1:15" ht="16.149999999999999" customHeight="1">
      <c r="A53" s="140" t="s">
        <v>5</v>
      </c>
      <c r="B53" s="140"/>
      <c r="C53" s="125" t="s">
        <v>4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3"/>
    </row>
    <row r="63" spans="1:15" hidden="1">
      <c r="B63" s="2" t="s">
        <v>3</v>
      </c>
    </row>
    <row r="64" spans="1:15" hidden="1">
      <c r="B64" s="2" t="s">
        <v>2</v>
      </c>
    </row>
    <row r="65" spans="2:2" hidden="1">
      <c r="B65" s="2" t="s">
        <v>1</v>
      </c>
    </row>
    <row r="66" spans="2:2" hidden="1">
      <c r="B66" s="2" t="s">
        <v>0</v>
      </c>
    </row>
  </sheetData>
  <sheetProtection formatColumns="0" formatRows="0"/>
  <mergeCells count="36">
    <mergeCell ref="A1:N1"/>
    <mergeCell ref="M2:N2"/>
    <mergeCell ref="M3:N3"/>
    <mergeCell ref="C7:D7"/>
    <mergeCell ref="J7:N7"/>
    <mergeCell ref="G21:L21"/>
    <mergeCell ref="G22:L22"/>
    <mergeCell ref="G23:L23"/>
    <mergeCell ref="G24:L24"/>
    <mergeCell ref="G11:M11"/>
    <mergeCell ref="G12:M12"/>
    <mergeCell ref="G14:M14"/>
    <mergeCell ref="G16:M16"/>
    <mergeCell ref="G18:N18"/>
    <mergeCell ref="G20:L20"/>
    <mergeCell ref="G28:K28"/>
    <mergeCell ref="G29:K29"/>
    <mergeCell ref="G48:L48"/>
    <mergeCell ref="B32:F32"/>
    <mergeCell ref="G34:K34"/>
    <mergeCell ref="G35:K35"/>
    <mergeCell ref="G36:K36"/>
    <mergeCell ref="G40:M40"/>
    <mergeCell ref="B42:K42"/>
    <mergeCell ref="L42:M42"/>
    <mergeCell ref="G30:K30"/>
    <mergeCell ref="A52:B52"/>
    <mergeCell ref="C52:N52"/>
    <mergeCell ref="A53:B53"/>
    <mergeCell ref="C53:N53"/>
    <mergeCell ref="B43:K43"/>
    <mergeCell ref="L43:M43"/>
    <mergeCell ref="B44:K44"/>
    <mergeCell ref="G46:L46"/>
    <mergeCell ref="G47:L47"/>
    <mergeCell ref="G49:L49"/>
  </mergeCells>
  <conditionalFormatting sqref="A1 O1:XFD3 A2:M3 A4:XFD12 A13:R23 AB13:XFD23 A24:XFD24 A25:F25 M25:XFD25 A27:F27 M27:XFD27 A28:XFD30 N31:XFD31 A31:F33 N33:XFD33 A34:XFD36 A38:XFD51 A52:A53 A54:XFD54 A55:A59 C55:XFD59 A60:XFD65 B66 A66:A67 C66:XFD67 A68:XFD1048576">
    <cfRule type="expression" dxfId="64" priority="6">
      <formula>CELL("protect", INDIRECT(ADDRESS(ROW(), COLUMN())))=0</formula>
    </cfRule>
  </conditionalFormatting>
  <conditionalFormatting sqref="A26:B26">
    <cfRule type="expression" dxfId="63" priority="5">
      <formula>CELL("protect", INDIRECT(ADDRESS(ROW(), COLUMN())))=0</formula>
    </cfRule>
  </conditionalFormatting>
  <conditionalFormatting sqref="C52:XFD53">
    <cfRule type="expression" dxfId="62" priority="4">
      <formula>CELL("protect", INDIRECT(ADDRESS(ROW(), COLUMN())))=0</formula>
    </cfRule>
  </conditionalFormatting>
  <conditionalFormatting sqref="G18">
    <cfRule type="expression" dxfId="61" priority="3">
      <formula>CELL("protect", INDIRECT(ADDRESS(ROW(), COLUMN())))=0</formula>
    </cfRule>
  </conditionalFormatting>
  <conditionalFormatting sqref="G26:XFD26">
    <cfRule type="expression" dxfId="60" priority="2">
      <formula>CELL("protect", INDIRECT(ADDRESS(ROW(), COLUMN())))=0</formula>
    </cfRule>
  </conditionalFormatting>
  <conditionalFormatting sqref="G32:XFD32">
    <cfRule type="expression" dxfId="59" priority="1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4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3"/>
  <sheetViews>
    <sheetView view="pageBreakPreview" topLeftCell="A22" zoomScale="85" zoomScaleNormal="85" zoomScaleSheetLayoutView="85" workbookViewId="0">
      <selection activeCell="X15" sqref="X15"/>
    </sheetView>
  </sheetViews>
  <sheetFormatPr defaultColWidth="8.85546875" defaultRowHeight="15.75"/>
  <cols>
    <col min="1" max="1" width="2.28515625" style="40" customWidth="1"/>
    <col min="2" max="4" width="8.85546875" style="40"/>
    <col min="5" max="5" width="4.5703125" style="40" customWidth="1"/>
    <col min="6" max="6" width="16.42578125" style="40" customWidth="1"/>
    <col min="7" max="7" width="4.42578125" style="40" customWidth="1"/>
    <col min="8" max="8" width="2.85546875" style="40" customWidth="1"/>
    <col min="9" max="10" width="1.140625" style="40" customWidth="1"/>
    <col min="11" max="11" width="14" style="40" customWidth="1"/>
    <col min="12" max="12" width="3.42578125" style="40" customWidth="1"/>
    <col min="13" max="13" width="1.140625" style="40" customWidth="1"/>
    <col min="14" max="14" width="10" style="40" customWidth="1"/>
    <col min="15" max="15" width="1.28515625" style="40" customWidth="1"/>
    <col min="16" max="16" width="10" style="40" customWidth="1"/>
    <col min="17" max="17" width="1.140625" style="40" customWidth="1"/>
    <col min="18" max="18" width="3" style="40" customWidth="1"/>
    <col min="19" max="19" width="2.140625" style="40" customWidth="1"/>
    <col min="20" max="20" width="12.140625" style="40" customWidth="1"/>
    <col min="21" max="21" width="4.140625" style="40" customWidth="1"/>
    <col min="22" max="22" width="4" style="40" customWidth="1"/>
    <col min="23" max="16384" width="8.85546875" style="40"/>
  </cols>
  <sheetData>
    <row r="1" spans="1:22" ht="6" customHeight="1">
      <c r="R1" s="40" t="s">
        <v>195</v>
      </c>
    </row>
    <row r="2" spans="1:22" ht="22.9" customHeight="1">
      <c r="A2" s="97" t="s">
        <v>196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</row>
    <row r="3" spans="1:22" ht="15" customHeight="1">
      <c r="P3" s="148" t="s">
        <v>197</v>
      </c>
      <c r="Q3" s="148"/>
      <c r="R3" s="148"/>
      <c r="S3" s="148"/>
      <c r="T3" s="148"/>
      <c r="U3" s="148"/>
      <c r="V3" s="148"/>
    </row>
    <row r="4" spans="1:22" ht="15" customHeight="1">
      <c r="T4" s="149" t="s">
        <v>198</v>
      </c>
      <c r="U4" s="149"/>
      <c r="V4" s="149"/>
    </row>
    <row r="5" spans="1:22" ht="15" customHeight="1">
      <c r="T5" s="63"/>
    </row>
    <row r="6" spans="1:22">
      <c r="A6" s="64" t="s">
        <v>86</v>
      </c>
      <c r="H6" s="64"/>
      <c r="S6" s="150"/>
      <c r="T6" s="150"/>
      <c r="U6" s="150"/>
    </row>
    <row r="7" spans="1:22" ht="5.0999999999999996" customHeight="1" thickBot="1">
      <c r="A7" s="64"/>
      <c r="H7" s="64"/>
      <c r="S7" s="65"/>
      <c r="T7" s="65"/>
      <c r="U7" s="65"/>
    </row>
    <row r="8" spans="1:22">
      <c r="A8" s="64" t="s">
        <v>85</v>
      </c>
      <c r="F8" s="151" t="s">
        <v>84</v>
      </c>
      <c r="H8" s="64" t="s">
        <v>83</v>
      </c>
      <c r="L8" s="153" t="s">
        <v>199</v>
      </c>
      <c r="M8" s="154"/>
      <c r="N8" s="154"/>
      <c r="O8" s="154"/>
      <c r="P8" s="154"/>
      <c r="Q8" s="154"/>
      <c r="R8" s="154"/>
      <c r="S8" s="154"/>
      <c r="T8" s="154"/>
      <c r="U8" s="155"/>
    </row>
    <row r="9" spans="1:22" ht="16.5" thickBot="1">
      <c r="A9" s="64"/>
      <c r="F9" s="152"/>
      <c r="H9" s="64"/>
      <c r="L9" s="156"/>
      <c r="M9" s="157"/>
      <c r="N9" s="157"/>
      <c r="O9" s="157"/>
      <c r="P9" s="157"/>
      <c r="Q9" s="157"/>
      <c r="R9" s="157"/>
      <c r="S9" s="157"/>
      <c r="T9" s="157"/>
      <c r="U9" s="158"/>
    </row>
    <row r="10" spans="1:22" ht="5.0999999999999996" customHeight="1" thickBot="1"/>
    <row r="11" spans="1:22">
      <c r="A11" s="64" t="s">
        <v>81</v>
      </c>
      <c r="C11" s="153" t="s">
        <v>80</v>
      </c>
      <c r="D11" s="154"/>
      <c r="E11" s="154"/>
      <c r="F11" s="155"/>
      <c r="H11" s="64" t="s">
        <v>79</v>
      </c>
      <c r="L11" s="153" t="s">
        <v>225</v>
      </c>
      <c r="M11" s="159"/>
      <c r="N11" s="159"/>
      <c r="O11" s="159"/>
      <c r="P11" s="159"/>
      <c r="Q11" s="159"/>
      <c r="R11" s="159"/>
      <c r="S11" s="159"/>
      <c r="T11" s="159"/>
      <c r="U11" s="160"/>
    </row>
    <row r="12" spans="1:22" ht="16.5" thickBot="1">
      <c r="A12" s="64"/>
      <c r="C12" s="156"/>
      <c r="D12" s="157"/>
      <c r="E12" s="157"/>
      <c r="F12" s="158"/>
      <c r="H12" s="64"/>
      <c r="L12" s="161"/>
      <c r="M12" s="162"/>
      <c r="N12" s="162"/>
      <c r="O12" s="162"/>
      <c r="P12" s="162"/>
      <c r="Q12" s="162"/>
      <c r="R12" s="162"/>
      <c r="S12" s="162"/>
      <c r="T12" s="162"/>
      <c r="U12" s="163"/>
    </row>
    <row r="13" spans="1:22">
      <c r="A13" s="64"/>
    </row>
    <row r="14" spans="1:22" ht="39.6" customHeight="1" thickBot="1">
      <c r="A14" s="66" t="s">
        <v>77</v>
      </c>
      <c r="B14" s="67" t="s">
        <v>200</v>
      </c>
      <c r="C14" s="67"/>
      <c r="D14" s="67"/>
      <c r="E14" s="67"/>
      <c r="F14" s="67"/>
      <c r="G14" s="67"/>
      <c r="H14" s="164" t="s">
        <v>201</v>
      </c>
      <c r="I14" s="164"/>
      <c r="J14" s="164"/>
      <c r="K14" s="164"/>
      <c r="L14" s="164"/>
      <c r="M14" s="68"/>
      <c r="N14" s="165" t="s">
        <v>202</v>
      </c>
      <c r="O14" s="165"/>
      <c r="P14" s="165"/>
      <c r="Q14" s="68"/>
      <c r="R14" s="166" t="s">
        <v>203</v>
      </c>
      <c r="S14" s="166"/>
      <c r="T14" s="166"/>
      <c r="U14" s="166"/>
    </row>
    <row r="15" spans="1:22" ht="15" customHeight="1" thickBot="1">
      <c r="A15" s="66"/>
      <c r="B15" s="69"/>
      <c r="C15" s="69" t="s">
        <v>204</v>
      </c>
      <c r="D15" s="67"/>
      <c r="E15" s="67"/>
      <c r="H15" s="145" t="s">
        <v>222</v>
      </c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7"/>
    </row>
    <row r="16" spans="1:22" ht="16.5" thickBot="1">
      <c r="A16" s="66"/>
      <c r="B16" s="69"/>
      <c r="C16" s="69" t="s">
        <v>205</v>
      </c>
      <c r="D16" s="67"/>
      <c r="E16" s="67"/>
      <c r="H16" s="145" t="s">
        <v>72</v>
      </c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7"/>
    </row>
    <row r="17" spans="1:28" ht="3.6" customHeight="1" thickBot="1">
      <c r="A17" s="66"/>
      <c r="B17" s="69"/>
      <c r="C17" s="69"/>
      <c r="D17" s="67"/>
      <c r="E17" s="6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78.75" customHeight="1" thickBot="1">
      <c r="A18" s="66"/>
      <c r="B18" s="69"/>
      <c r="C18" s="69" t="s">
        <v>206</v>
      </c>
      <c r="D18" s="67"/>
      <c r="E18" s="67"/>
      <c r="F18" s="78"/>
      <c r="G18" s="67"/>
      <c r="H18" s="167" t="s">
        <v>207</v>
      </c>
      <c r="I18" s="168"/>
      <c r="J18" s="168"/>
      <c r="K18" s="168"/>
      <c r="L18" s="169"/>
      <c r="M18" s="67"/>
      <c r="N18" s="170" t="s">
        <v>208</v>
      </c>
      <c r="O18" s="171"/>
      <c r="P18" s="172"/>
      <c r="Q18" s="67"/>
      <c r="R18" s="167"/>
      <c r="S18" s="173"/>
      <c r="T18" s="173"/>
      <c r="U18" s="174"/>
    </row>
    <row r="19" spans="1:28" ht="15" customHeight="1" thickBot="1">
      <c r="A19" s="66"/>
      <c r="B19" s="69"/>
      <c r="C19" s="69"/>
      <c r="D19" s="67"/>
      <c r="E19" s="67"/>
      <c r="F19" s="67"/>
      <c r="G19" s="67"/>
      <c r="H19" s="70" t="s">
        <v>66</v>
      </c>
      <c r="I19" s="71"/>
      <c r="J19"/>
      <c r="K19"/>
      <c r="L19"/>
      <c r="M19"/>
      <c r="N19"/>
      <c r="O19"/>
      <c r="P19"/>
      <c r="Q19"/>
      <c r="R19"/>
      <c r="S19"/>
      <c r="T19"/>
      <c r="U19"/>
    </row>
    <row r="20" spans="1:28" ht="53.45" customHeight="1" thickBot="1">
      <c r="A20" s="66"/>
      <c r="B20" s="69"/>
      <c r="C20" s="69"/>
      <c r="D20" s="67"/>
      <c r="E20" s="67"/>
      <c r="F20" s="78"/>
      <c r="G20" s="67"/>
      <c r="H20" s="175"/>
      <c r="I20" s="176"/>
      <c r="J20" s="176"/>
      <c r="K20" s="176"/>
      <c r="L20" s="177"/>
      <c r="M20" s="67"/>
      <c r="N20" s="175"/>
      <c r="O20" s="176"/>
      <c r="P20" s="177"/>
      <c r="Q20" s="67"/>
      <c r="R20" s="178"/>
      <c r="S20" s="179"/>
      <c r="T20" s="179"/>
      <c r="U20" s="180"/>
      <c r="AB20" s="72"/>
    </row>
    <row r="21" spans="1:28" ht="6" customHeight="1">
      <c r="A21" s="66"/>
      <c r="B21" s="69"/>
      <c r="C21" s="69"/>
      <c r="D21" s="67"/>
      <c r="E21" s="67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8" ht="22.15" customHeight="1" thickBot="1">
      <c r="A22" s="66" t="s">
        <v>71</v>
      </c>
      <c r="B22" s="67" t="s">
        <v>209</v>
      </c>
      <c r="C22" s="67"/>
      <c r="D22" s="67"/>
      <c r="E22" s="67"/>
      <c r="H22" s="165" t="s">
        <v>210</v>
      </c>
      <c r="I22" s="165"/>
      <c r="J22" s="165"/>
      <c r="K22" s="165"/>
      <c r="L22" s="165"/>
      <c r="M22" s="165"/>
      <c r="N22" s="165"/>
      <c r="O22" s="73"/>
      <c r="P22" s="165" t="s">
        <v>211</v>
      </c>
      <c r="Q22" s="165"/>
      <c r="R22" s="165"/>
      <c r="S22" s="165"/>
      <c r="T22" s="165"/>
      <c r="U22" s="165"/>
    </row>
    <row r="23" spans="1:28" ht="16.5" thickBot="1">
      <c r="A23" s="66"/>
      <c r="B23" s="69"/>
      <c r="C23" s="69" t="s">
        <v>204</v>
      </c>
      <c r="D23" s="67"/>
      <c r="E23" s="67"/>
      <c r="H23" s="181" t="s">
        <v>223</v>
      </c>
      <c r="I23" s="182"/>
      <c r="J23" s="182"/>
      <c r="K23" s="182"/>
      <c r="L23" s="182"/>
      <c r="M23" s="182"/>
      <c r="N23" s="183"/>
      <c r="P23" s="181" t="s">
        <v>223</v>
      </c>
      <c r="Q23" s="182"/>
      <c r="R23" s="182"/>
      <c r="S23" s="182"/>
      <c r="T23" s="182"/>
      <c r="U23" s="183"/>
    </row>
    <row r="24" spans="1:28" ht="16.5" thickBot="1">
      <c r="A24" s="66"/>
      <c r="B24" s="69"/>
      <c r="C24" s="69" t="s">
        <v>205</v>
      </c>
      <c r="D24" s="67"/>
      <c r="E24" s="67"/>
      <c r="H24" s="181" t="s">
        <v>72</v>
      </c>
      <c r="I24" s="182"/>
      <c r="J24" s="182"/>
      <c r="K24" s="182"/>
      <c r="L24" s="182"/>
      <c r="M24" s="182"/>
      <c r="N24" s="183"/>
      <c r="P24" s="181" t="s">
        <v>72</v>
      </c>
      <c r="Q24" s="182"/>
      <c r="R24" s="182"/>
      <c r="S24" s="182"/>
      <c r="T24" s="182"/>
      <c r="U24" s="183"/>
    </row>
    <row r="25" spans="1:28" ht="34.9" customHeight="1" thickBot="1">
      <c r="A25" s="66"/>
      <c r="B25" s="69"/>
      <c r="C25" s="69" t="s">
        <v>206</v>
      </c>
      <c r="D25" s="67"/>
      <c r="E25" s="67"/>
      <c r="H25" s="170" t="s">
        <v>212</v>
      </c>
      <c r="I25" s="171"/>
      <c r="J25" s="171"/>
      <c r="K25" s="171"/>
      <c r="L25" s="171"/>
      <c r="M25" s="171"/>
      <c r="N25" s="172"/>
      <c r="P25" s="170" t="s">
        <v>207</v>
      </c>
      <c r="Q25" s="171"/>
      <c r="R25" s="171"/>
      <c r="S25" s="171"/>
      <c r="T25" s="171"/>
      <c r="U25" s="172"/>
    </row>
    <row r="26" spans="1:28" ht="16.5" thickBot="1">
      <c r="A26" s="66"/>
      <c r="B26" s="69"/>
      <c r="C26" s="69"/>
      <c r="D26" s="67"/>
      <c r="E26" s="67"/>
      <c r="H26" s="1" t="s">
        <v>66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41.45" customHeight="1" thickBot="1">
      <c r="A27" s="66"/>
      <c r="B27" s="69"/>
      <c r="C27" s="69"/>
      <c r="D27" s="67"/>
      <c r="E27" s="67"/>
      <c r="F27" s="79"/>
      <c r="H27" s="184"/>
      <c r="I27" s="185"/>
      <c r="J27" s="185"/>
      <c r="K27" s="185"/>
      <c r="L27" s="185"/>
      <c r="M27" s="185"/>
      <c r="N27" s="186"/>
      <c r="P27" s="187"/>
      <c r="Q27" s="188"/>
      <c r="R27" s="188"/>
      <c r="S27" s="188"/>
      <c r="T27" s="188"/>
      <c r="U27" s="189"/>
    </row>
    <row r="28" spans="1:28" ht="6" customHeight="1">
      <c r="A28" s="66"/>
      <c r="B28" s="69"/>
      <c r="C28" s="69"/>
      <c r="D28" s="67"/>
      <c r="E28" s="67"/>
      <c r="U28" s="65"/>
    </row>
    <row r="29" spans="1:28" ht="14.45" customHeight="1" thickBot="1">
      <c r="A29" s="66" t="s">
        <v>68</v>
      </c>
      <c r="B29" s="67" t="s">
        <v>213</v>
      </c>
      <c r="C29" s="67"/>
      <c r="D29" s="67"/>
      <c r="E29" s="67"/>
      <c r="K29" s="150"/>
      <c r="L29" s="150"/>
      <c r="M29" s="65"/>
      <c r="N29" s="65"/>
      <c r="O29" s="65"/>
      <c r="P29" s="65"/>
      <c r="Q29" s="65"/>
      <c r="S29" s="150"/>
      <c r="T29" s="150"/>
    </row>
    <row r="30" spans="1:28" ht="15" customHeight="1" thickBot="1">
      <c r="A30" s="66"/>
      <c r="B30" s="69"/>
      <c r="C30" s="69" t="s">
        <v>204</v>
      </c>
      <c r="D30" s="67"/>
      <c r="E30" s="67"/>
      <c r="H30" s="145" t="s">
        <v>222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7"/>
    </row>
    <row r="31" spans="1:28" ht="16.5" thickBot="1">
      <c r="A31" s="66"/>
      <c r="B31" s="69"/>
      <c r="C31" s="69" t="s">
        <v>205</v>
      </c>
      <c r="D31" s="67"/>
      <c r="E31" s="67"/>
      <c r="H31" s="145" t="s">
        <v>72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7"/>
    </row>
    <row r="32" spans="1:28" ht="18.600000000000001" customHeight="1" thickBot="1">
      <c r="A32" s="66"/>
      <c r="B32" s="69"/>
      <c r="C32" s="69" t="s">
        <v>206</v>
      </c>
      <c r="D32" s="74"/>
      <c r="E32" s="74"/>
      <c r="F32" s="74"/>
      <c r="G32" s="74"/>
      <c r="H32" s="167" t="s">
        <v>214</v>
      </c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9"/>
    </row>
    <row r="33" spans="1:21" ht="16.5" thickBot="1">
      <c r="A33" s="66"/>
      <c r="B33" s="69"/>
      <c r="C33" s="69"/>
      <c r="D33" s="67"/>
      <c r="E33" s="67"/>
      <c r="H33" s="1" t="s">
        <v>66</v>
      </c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/>
      <c r="U33"/>
    </row>
    <row r="34" spans="1:21" ht="53.45" customHeight="1" thickBot="1">
      <c r="A34" s="66"/>
      <c r="B34" s="69"/>
      <c r="C34" s="69"/>
      <c r="D34" s="67"/>
      <c r="E34" s="67"/>
      <c r="H34" s="178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1"/>
    </row>
    <row r="35" spans="1:21" ht="6" customHeight="1">
      <c r="A35" s="66"/>
      <c r="B35" s="69"/>
      <c r="C35" s="69"/>
      <c r="D35" s="67"/>
      <c r="E35" s="67"/>
      <c r="U35" s="65"/>
    </row>
    <row r="36" spans="1:21" ht="14.45" customHeight="1" thickBot="1">
      <c r="A36" s="66" t="s">
        <v>65</v>
      </c>
      <c r="B36" s="67" t="s">
        <v>215</v>
      </c>
      <c r="C36" s="67"/>
      <c r="D36" s="67"/>
      <c r="E36" s="67"/>
      <c r="K36" s="150"/>
      <c r="L36" s="150"/>
      <c r="M36" s="65"/>
      <c r="N36" s="65"/>
      <c r="O36" s="65"/>
      <c r="P36" s="65"/>
      <c r="Q36" s="65"/>
      <c r="S36" s="150"/>
      <c r="T36" s="150"/>
    </row>
    <row r="37" spans="1:21" ht="15" customHeight="1" thickBot="1">
      <c r="A37" s="66"/>
      <c r="B37" s="69"/>
      <c r="C37" s="69" t="s">
        <v>204</v>
      </c>
      <c r="D37" s="67"/>
      <c r="E37" s="67"/>
      <c r="H37" s="192" t="s">
        <v>216</v>
      </c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4"/>
    </row>
    <row r="38" spans="1:21" ht="16.5" thickBot="1">
      <c r="A38" s="66"/>
      <c r="B38" s="69"/>
      <c r="C38" s="69" t="s">
        <v>205</v>
      </c>
      <c r="D38" s="67"/>
      <c r="E38" s="67"/>
      <c r="H38" s="192" t="s">
        <v>72</v>
      </c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4"/>
    </row>
    <row r="39" spans="1:21" ht="19.149999999999999" customHeight="1" thickBot="1">
      <c r="A39" s="66"/>
      <c r="B39" s="69"/>
      <c r="C39" s="69" t="s">
        <v>206</v>
      </c>
      <c r="D39" s="74"/>
      <c r="E39" s="74"/>
      <c r="F39" s="74"/>
      <c r="G39" s="74"/>
      <c r="H39" s="167" t="s">
        <v>221</v>
      </c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9"/>
    </row>
    <row r="40" spans="1:21" ht="16.5" thickBot="1">
      <c r="A40" s="66"/>
      <c r="B40" s="69"/>
      <c r="C40" s="69"/>
      <c r="D40" s="67"/>
      <c r="E40" s="67"/>
      <c r="H40" s="1" t="s">
        <v>66</v>
      </c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/>
      <c r="U40"/>
    </row>
    <row r="41" spans="1:21" ht="53.45" customHeight="1" thickBot="1">
      <c r="A41" s="66"/>
      <c r="B41" s="69"/>
      <c r="C41" s="69"/>
      <c r="D41" s="67"/>
      <c r="E41" s="67"/>
      <c r="H41" s="178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1"/>
    </row>
    <row r="42" spans="1:21" ht="6" customHeight="1">
      <c r="A42" s="66"/>
      <c r="B42" s="69"/>
      <c r="C42" s="69"/>
      <c r="D42" s="67"/>
      <c r="E42" s="67"/>
      <c r="U42" s="65"/>
    </row>
    <row r="43" spans="1:21" ht="14.45" customHeight="1" thickBot="1">
      <c r="A43" s="66" t="s">
        <v>63</v>
      </c>
      <c r="B43" s="67" t="s">
        <v>217</v>
      </c>
      <c r="C43" s="67"/>
      <c r="D43" s="67"/>
      <c r="E43" s="67"/>
      <c r="K43" s="150"/>
      <c r="L43" s="150"/>
      <c r="M43" s="65"/>
      <c r="N43" s="65"/>
      <c r="O43" s="65"/>
      <c r="P43" s="65"/>
      <c r="Q43" s="65"/>
      <c r="S43" s="150"/>
      <c r="T43" s="150"/>
    </row>
    <row r="44" spans="1:21" ht="15" customHeight="1" thickBot="1">
      <c r="A44" s="66"/>
      <c r="B44" s="69"/>
      <c r="C44" s="69" t="s">
        <v>204</v>
      </c>
      <c r="D44" s="67"/>
      <c r="E44" s="67"/>
      <c r="H44" s="145" t="s">
        <v>222</v>
      </c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7"/>
    </row>
    <row r="45" spans="1:21" ht="16.5" thickBot="1">
      <c r="A45" s="66"/>
      <c r="B45" s="69"/>
      <c r="C45" s="69" t="s">
        <v>205</v>
      </c>
      <c r="D45" s="67"/>
      <c r="E45" s="67"/>
      <c r="H45" s="145" t="s">
        <v>72</v>
      </c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7"/>
    </row>
    <row r="46" spans="1:21" ht="19.149999999999999" customHeight="1" thickBot="1">
      <c r="A46" s="66"/>
      <c r="B46" s="69"/>
      <c r="C46" s="69" t="s">
        <v>206</v>
      </c>
      <c r="D46" s="74"/>
      <c r="E46" s="74"/>
      <c r="F46" s="74"/>
      <c r="G46" s="74"/>
      <c r="H46" s="167" t="s">
        <v>218</v>
      </c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9"/>
    </row>
    <row r="47" spans="1:21" ht="16.5" thickBot="1">
      <c r="A47" s="66"/>
      <c r="B47" s="69"/>
      <c r="C47" s="69"/>
      <c r="D47" s="67"/>
      <c r="E47" s="67"/>
      <c r="H47" s="1" t="s">
        <v>66</v>
      </c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/>
      <c r="U47"/>
    </row>
    <row r="48" spans="1:21" ht="53.45" customHeight="1" thickBot="1">
      <c r="A48" s="66"/>
      <c r="B48" s="69"/>
      <c r="C48" s="69"/>
      <c r="D48" s="67"/>
      <c r="E48" s="67"/>
      <c r="H48" s="178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1"/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/>
    <row r="53" spans="1:25" hidden="1">
      <c r="B53" t="s">
        <v>219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220</v>
      </c>
      <c r="W53"/>
      <c r="X53"/>
      <c r="Y53"/>
    </row>
    <row r="54" spans="1:25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/>
    <row r="56" spans="1:25" ht="18.600000000000001" hidden="1" customHeight="1">
      <c r="B56" s="75" t="s">
        <v>207</v>
      </c>
    </row>
    <row r="57" spans="1:25" hidden="1">
      <c r="B57" s="2" t="s">
        <v>120</v>
      </c>
    </row>
    <row r="58" spans="1:25" hidden="1"/>
    <row r="59" spans="1:25" hidden="1">
      <c r="B59" s="75" t="s">
        <v>208</v>
      </c>
    </row>
    <row r="60" spans="1:25" hidden="1">
      <c r="B60" s="2" t="s">
        <v>120</v>
      </c>
    </row>
    <row r="61" spans="1:25" hidden="1"/>
    <row r="62" spans="1:25" hidden="1">
      <c r="B62" s="75" t="s">
        <v>212</v>
      </c>
    </row>
    <row r="63" spans="1:25" hidden="1">
      <c r="B63" s="2" t="s">
        <v>120</v>
      </c>
    </row>
    <row r="64" spans="1:25" hidden="1"/>
    <row r="65" spans="2:2" hidden="1">
      <c r="B65" s="75" t="s">
        <v>218</v>
      </c>
    </row>
    <row r="66" spans="2:2" hidden="1">
      <c r="B66" s="2" t="s">
        <v>120</v>
      </c>
    </row>
    <row r="67" spans="2:2" hidden="1"/>
    <row r="68" spans="2:2" hidden="1">
      <c r="B68" s="75" t="s">
        <v>214</v>
      </c>
    </row>
    <row r="69" spans="2:2" hidden="1">
      <c r="B69" s="2" t="s">
        <v>120</v>
      </c>
    </row>
    <row r="70" spans="2:2" hidden="1"/>
    <row r="71" spans="2:2" hidden="1">
      <c r="B71" s="75" t="s">
        <v>221</v>
      </c>
    </row>
    <row r="72" spans="2:2" hidden="1">
      <c r="B72" s="2" t="s">
        <v>120</v>
      </c>
    </row>
    <row r="73" spans="2:2" hidden="1"/>
  </sheetData>
  <sheetProtection formatCells="0"/>
  <protectedRanges>
    <protectedRange sqref="S6:S7 L8:Q9 L11:Q12 H44:T48 H15:T20 H37:T42 H30:T35 H23:T28" name="Range1"/>
  </protectedRanges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58" priority="28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57" priority="27">
      <formula>CELL("protect", INDIRECT(ADDRESS(ROW(), COLUMN())))=0</formula>
    </cfRule>
  </conditionalFormatting>
  <conditionalFormatting sqref="A10:XFD10">
    <cfRule type="expression" dxfId="56" priority="26">
      <formula>CELL("protect", INDIRECT(ADDRESS(ROW(), COLUMN())))=0</formula>
    </cfRule>
  </conditionalFormatting>
  <conditionalFormatting sqref="A26:XFD26">
    <cfRule type="expression" dxfId="55" priority="25">
      <formula>CELL("protect", INDIRECT(ADDRESS(ROW(), COLUMN())))=0</formula>
    </cfRule>
  </conditionalFormatting>
  <conditionalFormatting sqref="A28:XFD29 A32:XFD43 A30:G31 V30:XFD31 A46:XFD48 A44:G45 V44:XFD45">
    <cfRule type="expression" dxfId="54" priority="24">
      <formula>CELL("protect", INDIRECT(ADDRESS(ROW(), COLUMN())))=0</formula>
    </cfRule>
  </conditionalFormatting>
  <conditionalFormatting sqref="B56:B57">
    <cfRule type="expression" dxfId="53" priority="23">
      <formula>CELL("protect", INDIRECT(ADDRESS(ROW(), COLUMN())))=0</formula>
    </cfRule>
  </conditionalFormatting>
  <conditionalFormatting sqref="B59:B60">
    <cfRule type="expression" dxfId="52" priority="22">
      <formula>CELL("protect", INDIRECT(ADDRESS(ROW(), COLUMN())))=0</formula>
    </cfRule>
  </conditionalFormatting>
  <conditionalFormatting sqref="B62:B63">
    <cfRule type="expression" dxfId="51" priority="21">
      <formula>CELL("protect", INDIRECT(ADDRESS(ROW(), COLUMN())))=0</formula>
    </cfRule>
  </conditionalFormatting>
  <conditionalFormatting sqref="B65:B66">
    <cfRule type="expression" dxfId="50" priority="20">
      <formula>CELL("protect", INDIRECT(ADDRESS(ROW(), COLUMN())))=0</formula>
    </cfRule>
  </conditionalFormatting>
  <conditionalFormatting sqref="B68:B69">
    <cfRule type="expression" dxfId="49" priority="19">
      <formula>CELL("protect", INDIRECT(ADDRESS(ROW(), COLUMN())))=0</formula>
    </cfRule>
  </conditionalFormatting>
  <conditionalFormatting sqref="B71:B72">
    <cfRule type="expression" dxfId="48" priority="18">
      <formula>CELL("protect", INDIRECT(ADDRESS(ROW(), COLUMN())))=0</formula>
    </cfRule>
  </conditionalFormatting>
  <conditionalFormatting sqref="H34">
    <cfRule type="expression" dxfId="47" priority="17">
      <formula>CELL("protect", INDIRECT(ADDRESS(ROW(), COLUMN())))=0</formula>
    </cfRule>
  </conditionalFormatting>
  <conditionalFormatting sqref="H41">
    <cfRule type="expression" dxfId="46" priority="16">
      <formula>CELL("protect", INDIRECT(ADDRESS(ROW(), COLUMN())))=0</formula>
    </cfRule>
  </conditionalFormatting>
  <conditionalFormatting sqref="H48">
    <cfRule type="expression" dxfId="45" priority="15">
      <formula>CELL("protect", INDIRECT(ADDRESS(ROW(), COLUMN())))=0</formula>
    </cfRule>
  </conditionalFormatting>
  <conditionalFormatting sqref="H33:S33">
    <cfRule type="expression" dxfId="44" priority="14">
      <formula>CELL("protect", INDIRECT(ADDRESS(ROW(), COLUMN())))=0</formula>
    </cfRule>
  </conditionalFormatting>
  <conditionalFormatting sqref="H40:S40">
    <cfRule type="expression" dxfId="43" priority="13">
      <formula>CELL("protect", INDIRECT(ADDRESS(ROW(), COLUMN())))=0</formula>
    </cfRule>
  </conditionalFormatting>
  <conditionalFormatting sqref="H47:S47">
    <cfRule type="expression" dxfId="42" priority="12">
      <formula>CELL("protect", INDIRECT(ADDRESS(ROW(), COLUMN())))=0</formula>
    </cfRule>
  </conditionalFormatting>
  <conditionalFormatting sqref="H30:U30">
    <cfRule type="expression" dxfId="41" priority="11">
      <formula>CELL("protect", INDIRECT(ADDRESS(ROW(), COLUMN())))=0</formula>
    </cfRule>
  </conditionalFormatting>
  <conditionalFormatting sqref="H31:U31">
    <cfRule type="expression" dxfId="40" priority="10">
      <formula>CELL("protect", INDIRECT(ADDRESS(ROW(), COLUMN())))=0</formula>
    </cfRule>
  </conditionalFormatting>
  <conditionalFormatting sqref="H44:U44">
    <cfRule type="expression" dxfId="39" priority="9">
      <formula>CELL("protect", INDIRECT(ADDRESS(ROW(), COLUMN())))=0</formula>
    </cfRule>
  </conditionalFormatting>
  <conditionalFormatting sqref="H45:U45">
    <cfRule type="expression" dxfId="38" priority="8">
      <formula>CELL("protect", INDIRECT(ADDRESS(ROW(), COLUMN())))=0</formula>
    </cfRule>
  </conditionalFormatting>
  <conditionalFormatting sqref="L11">
    <cfRule type="expression" dxfId="37" priority="7">
      <formula>CELL("protect", INDIRECT(ADDRESS(ROW(), COLUMN())))=0</formula>
    </cfRule>
  </conditionalFormatting>
  <conditionalFormatting sqref="L11">
    <cfRule type="expression" dxfId="36" priority="6">
      <formula>CELL("protect", INDIRECT(ADDRESS(ROW(), COLUMN())))=0</formula>
    </cfRule>
  </conditionalFormatting>
  <conditionalFormatting sqref="L11">
    <cfRule type="expression" dxfId="35" priority="5">
      <formula>CELL("protect", INDIRECT(ADDRESS(ROW(), COLUMN())))=0</formula>
    </cfRule>
  </conditionalFormatting>
  <conditionalFormatting sqref="L8">
    <cfRule type="expression" dxfId="34" priority="4">
      <formula>CELL("protect", INDIRECT(ADDRESS(ROW(), COLUMN())))=0</formula>
    </cfRule>
  </conditionalFormatting>
  <conditionalFormatting sqref="L8">
    <cfRule type="expression" dxfId="33" priority="3">
      <formula>CELL("protect", INDIRECT(ADDRESS(ROW(), COLUMN())))=0</formula>
    </cfRule>
  </conditionalFormatting>
  <conditionalFormatting sqref="H37:U38">
    <cfRule type="expression" dxfId="32" priority="2">
      <formula>CELL("protect", INDIRECT(ADDRESS(ROW(), COLUMN())))=0</formula>
    </cfRule>
  </conditionalFormatting>
  <conditionalFormatting sqref="H37:U38">
    <cfRule type="expression" dxfId="31" priority="1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0500-000000000000}">
      <formula1>$B$71:$B$72</formula1>
    </dataValidation>
    <dataValidation type="list" allowBlank="1" showInputMessage="1" showErrorMessage="1" sqref="H32:U32" xr:uid="{00000000-0002-0000-0500-000001000000}">
      <formula1>$B$68:$B$69</formula1>
    </dataValidation>
    <dataValidation type="list" allowBlank="1" showInputMessage="1" showErrorMessage="1" sqref="H46:U46" xr:uid="{00000000-0002-0000-0500-000002000000}">
      <formula1>$B$65:$B$66</formula1>
    </dataValidation>
    <dataValidation type="list" allowBlank="1" showInputMessage="1" showErrorMessage="1" sqref="H25" xr:uid="{00000000-0002-0000-0500-000003000000}">
      <formula1>$B$62:$B$63</formula1>
    </dataValidation>
    <dataValidation type="list" allowBlank="1" showInputMessage="1" showErrorMessage="1" sqref="R18:U18 N18:O18" xr:uid="{00000000-0002-0000-0500-000004000000}">
      <formula1>$B$59:$B$60</formula1>
    </dataValidation>
    <dataValidation type="list" allowBlank="1" showInputMessage="1" showErrorMessage="1" sqref="H18:L18 P25:U25" xr:uid="{00000000-0002-0000-0500-000005000000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&amp;C- Part 2-C&amp;P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3"/>
  <sheetViews>
    <sheetView view="pageBreakPreview" zoomScaleNormal="85" zoomScaleSheetLayoutView="100" workbookViewId="0">
      <selection activeCell="F27" sqref="F27"/>
    </sheetView>
  </sheetViews>
  <sheetFormatPr defaultColWidth="8.85546875" defaultRowHeight="15.75"/>
  <cols>
    <col min="1" max="1" width="2.28515625" style="40" customWidth="1"/>
    <col min="2" max="4" width="8.85546875" style="40"/>
    <col min="5" max="5" width="4.5703125" style="40" customWidth="1"/>
    <col min="6" max="6" width="10.5703125" style="40" customWidth="1"/>
    <col min="7" max="7" width="4.42578125" style="40" customWidth="1"/>
    <col min="8" max="8" width="2.85546875" style="40" customWidth="1"/>
    <col min="9" max="10" width="1.140625" style="40" customWidth="1"/>
    <col min="11" max="11" width="14" style="40" customWidth="1"/>
    <col min="12" max="12" width="3.42578125" style="40" customWidth="1"/>
    <col min="13" max="13" width="1.140625" style="40" customWidth="1"/>
    <col min="14" max="14" width="10" style="40" customWidth="1"/>
    <col min="15" max="15" width="1.28515625" style="40" customWidth="1"/>
    <col min="16" max="16" width="10" style="40" customWidth="1"/>
    <col min="17" max="17" width="1.140625" style="40" customWidth="1"/>
    <col min="18" max="18" width="3" style="40" customWidth="1"/>
    <col min="19" max="19" width="2.140625" style="40" customWidth="1"/>
    <col min="20" max="20" width="12.140625" style="40" customWidth="1"/>
    <col min="21" max="21" width="4.140625" style="40" customWidth="1"/>
    <col min="22" max="22" width="4" style="40" customWidth="1"/>
    <col min="23" max="16384" width="8.85546875" style="40"/>
  </cols>
  <sheetData>
    <row r="1" spans="1:22" ht="6" customHeight="1">
      <c r="R1" s="40" t="s">
        <v>195</v>
      </c>
    </row>
    <row r="2" spans="1:22" ht="22.9" customHeight="1">
      <c r="A2" s="97" t="s">
        <v>196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</row>
    <row r="3" spans="1:22" ht="15" customHeight="1">
      <c r="P3" s="148" t="s">
        <v>197</v>
      </c>
      <c r="Q3" s="148"/>
      <c r="R3" s="148"/>
      <c r="S3" s="148"/>
      <c r="T3" s="148"/>
      <c r="U3" s="148"/>
      <c r="V3" s="148"/>
    </row>
    <row r="4" spans="1:22" ht="15" customHeight="1">
      <c r="T4" s="149" t="s">
        <v>198</v>
      </c>
      <c r="U4" s="149"/>
      <c r="V4" s="149"/>
    </row>
    <row r="5" spans="1:22" ht="15" customHeight="1">
      <c r="T5" s="63"/>
    </row>
    <row r="6" spans="1:22">
      <c r="A6" s="64" t="s">
        <v>86</v>
      </c>
      <c r="H6" s="64"/>
      <c r="S6" s="150"/>
      <c r="T6" s="150"/>
      <c r="U6" s="150"/>
    </row>
    <row r="7" spans="1:22" ht="5.0999999999999996" customHeight="1" thickBot="1">
      <c r="A7" s="64"/>
      <c r="H7" s="64"/>
      <c r="S7" s="77"/>
      <c r="T7" s="77"/>
      <c r="U7" s="77"/>
    </row>
    <row r="8" spans="1:22">
      <c r="A8" s="64" t="s">
        <v>85</v>
      </c>
      <c r="F8" s="151" t="s">
        <v>84</v>
      </c>
      <c r="H8" s="64" t="s">
        <v>83</v>
      </c>
      <c r="L8" s="153" t="s">
        <v>199</v>
      </c>
      <c r="M8" s="154"/>
      <c r="N8" s="154"/>
      <c r="O8" s="154"/>
      <c r="P8" s="154"/>
      <c r="Q8" s="154"/>
      <c r="R8" s="154"/>
      <c r="S8" s="154"/>
      <c r="T8" s="154"/>
      <c r="U8" s="155"/>
    </row>
    <row r="9" spans="1:22" ht="16.5" thickBot="1">
      <c r="A9" s="64"/>
      <c r="F9" s="152"/>
      <c r="H9" s="64"/>
      <c r="L9" s="156"/>
      <c r="M9" s="157"/>
      <c r="N9" s="157"/>
      <c r="O9" s="157"/>
      <c r="P9" s="157"/>
      <c r="Q9" s="157"/>
      <c r="R9" s="157"/>
      <c r="S9" s="157"/>
      <c r="T9" s="157"/>
      <c r="U9" s="158"/>
    </row>
    <row r="10" spans="1:22" ht="5.0999999999999996" customHeight="1" thickBot="1"/>
    <row r="11" spans="1:22">
      <c r="A11" s="64" t="s">
        <v>81</v>
      </c>
      <c r="C11" s="153" t="s">
        <v>80</v>
      </c>
      <c r="D11" s="154"/>
      <c r="E11" s="154"/>
      <c r="F11" s="155"/>
      <c r="H11" s="64" t="s">
        <v>79</v>
      </c>
      <c r="L11" s="153" t="s">
        <v>225</v>
      </c>
      <c r="M11" s="159"/>
      <c r="N11" s="159"/>
      <c r="O11" s="159"/>
      <c r="P11" s="159"/>
      <c r="Q11" s="159"/>
      <c r="R11" s="159"/>
      <c r="S11" s="159"/>
      <c r="T11" s="159"/>
      <c r="U11" s="160"/>
    </row>
    <row r="12" spans="1:22" ht="16.5" thickBot="1">
      <c r="A12" s="64"/>
      <c r="C12" s="156"/>
      <c r="D12" s="157"/>
      <c r="E12" s="157"/>
      <c r="F12" s="158"/>
      <c r="H12" s="64"/>
      <c r="L12" s="161"/>
      <c r="M12" s="162"/>
      <c r="N12" s="162"/>
      <c r="O12" s="162"/>
      <c r="P12" s="162"/>
      <c r="Q12" s="162"/>
      <c r="R12" s="162"/>
      <c r="S12" s="162"/>
      <c r="T12" s="162"/>
      <c r="U12" s="163"/>
    </row>
    <row r="13" spans="1:22">
      <c r="A13" s="64"/>
    </row>
    <row r="14" spans="1:22" ht="39.6" customHeight="1" thickBot="1">
      <c r="A14" s="66" t="s">
        <v>77</v>
      </c>
      <c r="B14" s="67" t="s">
        <v>200</v>
      </c>
      <c r="C14" s="67"/>
      <c r="D14" s="67"/>
      <c r="E14" s="67"/>
      <c r="F14" s="67"/>
      <c r="G14" s="67"/>
      <c r="H14" s="164" t="s">
        <v>201</v>
      </c>
      <c r="I14" s="164"/>
      <c r="J14" s="164"/>
      <c r="K14" s="164"/>
      <c r="L14" s="164"/>
      <c r="M14" s="68"/>
      <c r="N14" s="165" t="s">
        <v>202</v>
      </c>
      <c r="O14" s="165"/>
      <c r="P14" s="165"/>
      <c r="Q14" s="68"/>
      <c r="R14" s="166" t="s">
        <v>203</v>
      </c>
      <c r="S14" s="166"/>
      <c r="T14" s="166"/>
      <c r="U14" s="166"/>
    </row>
    <row r="15" spans="1:22" ht="15" customHeight="1" thickBot="1">
      <c r="A15" s="66"/>
      <c r="B15" s="69"/>
      <c r="C15" s="69" t="s">
        <v>204</v>
      </c>
      <c r="D15" s="67"/>
      <c r="E15" s="67"/>
      <c r="H15" s="145" t="s">
        <v>224</v>
      </c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7"/>
    </row>
    <row r="16" spans="1:22" ht="16.5" thickBot="1">
      <c r="A16" s="66"/>
      <c r="B16" s="69"/>
      <c r="C16" s="69" t="s">
        <v>205</v>
      </c>
      <c r="D16" s="67"/>
      <c r="E16" s="67"/>
      <c r="H16" s="145" t="s">
        <v>72</v>
      </c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7"/>
    </row>
    <row r="17" spans="1:28" ht="3.6" customHeight="1" thickBot="1">
      <c r="A17" s="66"/>
      <c r="B17" s="69"/>
      <c r="C17" s="69"/>
      <c r="D17" s="67"/>
      <c r="E17" s="6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81.75" customHeight="1" thickBot="1">
      <c r="A18" s="66"/>
      <c r="B18" s="69"/>
      <c r="C18" s="69" t="s">
        <v>206</v>
      </c>
      <c r="D18" s="67"/>
      <c r="E18" s="67"/>
      <c r="F18" s="78"/>
      <c r="G18" s="67"/>
      <c r="H18" s="167" t="s">
        <v>207</v>
      </c>
      <c r="I18" s="168"/>
      <c r="J18" s="168"/>
      <c r="K18" s="168"/>
      <c r="L18" s="169"/>
      <c r="M18" s="67"/>
      <c r="N18" s="170" t="s">
        <v>208</v>
      </c>
      <c r="O18" s="171"/>
      <c r="P18" s="172"/>
      <c r="Q18" s="67"/>
      <c r="R18" s="195"/>
      <c r="S18" s="173"/>
      <c r="T18" s="173"/>
      <c r="U18" s="174"/>
    </row>
    <row r="19" spans="1:28" ht="15" customHeight="1" thickBot="1">
      <c r="A19" s="66"/>
      <c r="B19" s="69"/>
      <c r="C19" s="69"/>
      <c r="D19" s="67"/>
      <c r="E19" s="67"/>
      <c r="F19" s="67"/>
      <c r="G19" s="67"/>
      <c r="H19" s="70" t="s">
        <v>66</v>
      </c>
      <c r="I19" s="71"/>
      <c r="J19"/>
      <c r="K19"/>
      <c r="L19"/>
      <c r="M19"/>
      <c r="N19"/>
      <c r="O19"/>
      <c r="P19"/>
      <c r="Q19"/>
      <c r="R19"/>
      <c r="S19"/>
      <c r="T19"/>
      <c r="U19"/>
    </row>
    <row r="20" spans="1:28" ht="53.45" customHeight="1" thickBot="1">
      <c r="A20" s="66"/>
      <c r="B20" s="69"/>
      <c r="C20" s="69"/>
      <c r="D20" s="67"/>
      <c r="E20" s="67"/>
      <c r="F20" s="78"/>
      <c r="G20" s="67"/>
      <c r="H20" s="175"/>
      <c r="I20" s="176"/>
      <c r="J20" s="176"/>
      <c r="K20" s="176"/>
      <c r="L20" s="177"/>
      <c r="M20" s="67"/>
      <c r="N20" s="175"/>
      <c r="O20" s="176"/>
      <c r="P20" s="177"/>
      <c r="Q20" s="67"/>
      <c r="R20" s="196"/>
      <c r="S20" s="179"/>
      <c r="T20" s="179"/>
      <c r="U20" s="180"/>
      <c r="AB20" s="72"/>
    </row>
    <row r="21" spans="1:28" ht="6" customHeight="1">
      <c r="A21" s="66"/>
      <c r="B21" s="69"/>
      <c r="C21" s="69"/>
      <c r="D21" s="67"/>
      <c r="E21" s="6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spans="1:28" ht="22.15" customHeight="1" thickBot="1">
      <c r="A22" s="66" t="s">
        <v>71</v>
      </c>
      <c r="B22" s="67" t="s">
        <v>209</v>
      </c>
      <c r="C22" s="67"/>
      <c r="D22" s="67"/>
      <c r="E22" s="67"/>
      <c r="H22" s="165" t="s">
        <v>210</v>
      </c>
      <c r="I22" s="165"/>
      <c r="J22" s="165"/>
      <c r="K22" s="165"/>
      <c r="L22" s="165"/>
      <c r="M22" s="165"/>
      <c r="N22" s="165"/>
      <c r="O22" s="73"/>
      <c r="P22" s="165" t="s">
        <v>211</v>
      </c>
      <c r="Q22" s="165"/>
      <c r="R22" s="165"/>
      <c r="S22" s="165"/>
      <c r="T22" s="165"/>
      <c r="U22" s="165"/>
    </row>
    <row r="23" spans="1:28" ht="16.5" thickBot="1">
      <c r="A23" s="66"/>
      <c r="B23" s="69"/>
      <c r="C23" s="69" t="s">
        <v>204</v>
      </c>
      <c r="D23" s="67"/>
      <c r="E23" s="67"/>
      <c r="H23" s="181" t="s">
        <v>224</v>
      </c>
      <c r="I23" s="182"/>
      <c r="J23" s="182"/>
      <c r="K23" s="182"/>
      <c r="L23" s="182"/>
      <c r="M23" s="182"/>
      <c r="N23" s="183"/>
      <c r="P23" s="181" t="s">
        <v>224</v>
      </c>
      <c r="Q23" s="182"/>
      <c r="R23" s="182"/>
      <c r="S23" s="182"/>
      <c r="T23" s="182"/>
      <c r="U23" s="183"/>
    </row>
    <row r="24" spans="1:28" ht="16.5" thickBot="1">
      <c r="A24" s="66"/>
      <c r="B24" s="69"/>
      <c r="C24" s="69" t="s">
        <v>205</v>
      </c>
      <c r="D24" s="67"/>
      <c r="E24" s="67"/>
      <c r="H24" s="181" t="s">
        <v>72</v>
      </c>
      <c r="I24" s="182"/>
      <c r="J24" s="182"/>
      <c r="K24" s="182"/>
      <c r="L24" s="182"/>
      <c r="M24" s="182"/>
      <c r="N24" s="183"/>
      <c r="P24" s="181" t="s">
        <v>72</v>
      </c>
      <c r="Q24" s="182"/>
      <c r="R24" s="182"/>
      <c r="S24" s="182"/>
      <c r="T24" s="182"/>
      <c r="U24" s="183"/>
    </row>
    <row r="25" spans="1:28" ht="34.9" customHeight="1" thickBot="1">
      <c r="A25" s="66"/>
      <c r="B25" s="69"/>
      <c r="C25" s="69" t="s">
        <v>206</v>
      </c>
      <c r="D25" s="67"/>
      <c r="E25" s="67"/>
      <c r="H25" s="170" t="s">
        <v>212</v>
      </c>
      <c r="I25" s="171"/>
      <c r="J25" s="171"/>
      <c r="K25" s="171"/>
      <c r="L25" s="171"/>
      <c r="M25" s="171"/>
      <c r="N25" s="172"/>
      <c r="P25" s="170" t="s">
        <v>207</v>
      </c>
      <c r="Q25" s="171"/>
      <c r="R25" s="171"/>
      <c r="S25" s="171"/>
      <c r="T25" s="171"/>
      <c r="U25" s="172"/>
    </row>
    <row r="26" spans="1:28" ht="16.5" thickBot="1">
      <c r="A26" s="66"/>
      <c r="B26" s="69"/>
      <c r="C26" s="69"/>
      <c r="D26" s="67"/>
      <c r="E26" s="67"/>
      <c r="H26" s="1" t="s">
        <v>66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16.5" thickBot="1">
      <c r="A27" s="66"/>
      <c r="B27" s="69"/>
      <c r="C27" s="69"/>
      <c r="D27" s="67"/>
      <c r="E27" s="67"/>
      <c r="F27" s="79"/>
      <c r="H27" s="197"/>
      <c r="I27" s="185"/>
      <c r="J27" s="185"/>
      <c r="K27" s="185"/>
      <c r="L27" s="185"/>
      <c r="M27" s="185"/>
      <c r="N27" s="186"/>
      <c r="P27" s="187"/>
      <c r="Q27" s="188"/>
      <c r="R27" s="188"/>
      <c r="S27" s="188"/>
      <c r="T27" s="188"/>
      <c r="U27" s="189"/>
    </row>
    <row r="28" spans="1:28" ht="6" customHeight="1">
      <c r="A28" s="66"/>
      <c r="B28" s="69"/>
      <c r="C28" s="69"/>
      <c r="D28" s="67"/>
      <c r="E28" s="67"/>
      <c r="U28" s="77"/>
    </row>
    <row r="29" spans="1:28" ht="14.45" customHeight="1" thickBot="1">
      <c r="A29" s="66" t="s">
        <v>68</v>
      </c>
      <c r="B29" s="67" t="s">
        <v>213</v>
      </c>
      <c r="C29" s="67"/>
      <c r="D29" s="67"/>
      <c r="E29" s="67"/>
      <c r="K29" s="150"/>
      <c r="L29" s="150"/>
      <c r="M29" s="77"/>
      <c r="N29" s="77"/>
      <c r="O29" s="77"/>
      <c r="P29" s="77"/>
      <c r="Q29" s="77"/>
      <c r="S29" s="150"/>
      <c r="T29" s="150"/>
    </row>
    <row r="30" spans="1:28" ht="15" customHeight="1" thickBot="1">
      <c r="A30" s="66"/>
      <c r="B30" s="69"/>
      <c r="C30" s="69" t="s">
        <v>204</v>
      </c>
      <c r="D30" s="67"/>
      <c r="E30" s="67"/>
      <c r="H30" s="145" t="s">
        <v>224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7"/>
    </row>
    <row r="31" spans="1:28" ht="16.5" thickBot="1">
      <c r="A31" s="66"/>
      <c r="B31" s="69"/>
      <c r="C31" s="69" t="s">
        <v>205</v>
      </c>
      <c r="D31" s="67"/>
      <c r="E31" s="67"/>
      <c r="H31" s="145" t="s">
        <v>72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7"/>
    </row>
    <row r="32" spans="1:28" ht="18.600000000000001" customHeight="1" thickBot="1">
      <c r="A32" s="66"/>
      <c r="B32" s="69"/>
      <c r="C32" s="69" t="s">
        <v>206</v>
      </c>
      <c r="D32" s="74"/>
      <c r="E32" s="74"/>
      <c r="F32" s="74"/>
      <c r="G32" s="74"/>
      <c r="H32" s="167" t="s">
        <v>214</v>
      </c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9"/>
    </row>
    <row r="33" spans="1:21" ht="16.5" thickBot="1">
      <c r="A33" s="66"/>
      <c r="B33" s="69"/>
      <c r="C33" s="69"/>
      <c r="D33" s="67"/>
      <c r="E33" s="67"/>
      <c r="H33" s="1" t="s">
        <v>66</v>
      </c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/>
      <c r="U33"/>
    </row>
    <row r="34" spans="1:21" ht="53.45" customHeight="1" thickBot="1">
      <c r="A34" s="66"/>
      <c r="B34" s="69"/>
      <c r="C34" s="69"/>
      <c r="D34" s="67"/>
      <c r="E34" s="67"/>
      <c r="H34" s="178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1"/>
    </row>
    <row r="35" spans="1:21" ht="6" customHeight="1">
      <c r="A35" s="66"/>
      <c r="B35" s="69"/>
      <c r="C35" s="69"/>
      <c r="D35" s="67"/>
      <c r="E35" s="67"/>
      <c r="U35" s="77"/>
    </row>
    <row r="36" spans="1:21" ht="14.45" customHeight="1" thickBot="1">
      <c r="A36" s="66" t="s">
        <v>65</v>
      </c>
      <c r="B36" s="67" t="s">
        <v>215</v>
      </c>
      <c r="C36" s="67"/>
      <c r="D36" s="67"/>
      <c r="E36" s="67"/>
      <c r="K36" s="150"/>
      <c r="L36" s="150"/>
      <c r="M36" s="77"/>
      <c r="N36" s="77"/>
      <c r="O36" s="77"/>
      <c r="P36" s="77"/>
      <c r="Q36" s="77"/>
      <c r="S36" s="150"/>
      <c r="T36" s="150"/>
    </row>
    <row r="37" spans="1:21" ht="15" customHeight="1" thickBot="1">
      <c r="A37" s="66"/>
      <c r="B37" s="69"/>
      <c r="C37" s="69" t="s">
        <v>204</v>
      </c>
      <c r="D37" s="67"/>
      <c r="E37" s="67"/>
      <c r="H37" s="192" t="s">
        <v>216</v>
      </c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4"/>
    </row>
    <row r="38" spans="1:21" ht="16.5" thickBot="1">
      <c r="A38" s="66"/>
      <c r="B38" s="69"/>
      <c r="C38" s="69" t="s">
        <v>205</v>
      </c>
      <c r="D38" s="67"/>
      <c r="E38" s="67"/>
      <c r="H38" s="192" t="s">
        <v>72</v>
      </c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4"/>
    </row>
    <row r="39" spans="1:21" ht="19.149999999999999" customHeight="1" thickBot="1">
      <c r="A39" s="66"/>
      <c r="B39" s="69"/>
      <c r="C39" s="69" t="s">
        <v>206</v>
      </c>
      <c r="D39" s="74"/>
      <c r="E39" s="74"/>
      <c r="F39" s="74"/>
      <c r="G39" s="74"/>
      <c r="H39" s="167" t="s">
        <v>221</v>
      </c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9"/>
    </row>
    <row r="40" spans="1:21" ht="16.5" thickBot="1">
      <c r="A40" s="66"/>
      <c r="B40" s="69"/>
      <c r="C40" s="69"/>
      <c r="D40" s="67"/>
      <c r="E40" s="67"/>
      <c r="H40" s="1" t="s">
        <v>66</v>
      </c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/>
      <c r="U40"/>
    </row>
    <row r="41" spans="1:21" ht="53.45" customHeight="1" thickBot="1">
      <c r="A41" s="66"/>
      <c r="B41" s="69"/>
      <c r="C41" s="69"/>
      <c r="D41" s="67"/>
      <c r="E41" s="67"/>
      <c r="H41" s="178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1"/>
    </row>
    <row r="42" spans="1:21" ht="6" customHeight="1">
      <c r="A42" s="66"/>
      <c r="B42" s="69"/>
      <c r="C42" s="69"/>
      <c r="D42" s="67"/>
      <c r="E42" s="67"/>
      <c r="U42" s="77"/>
    </row>
    <row r="43" spans="1:21" ht="14.45" customHeight="1" thickBot="1">
      <c r="A43" s="66" t="s">
        <v>63</v>
      </c>
      <c r="B43" s="67" t="s">
        <v>217</v>
      </c>
      <c r="C43" s="67"/>
      <c r="D43" s="67"/>
      <c r="E43" s="67"/>
      <c r="K43" s="150"/>
      <c r="L43" s="150"/>
      <c r="M43" s="77"/>
      <c r="N43" s="77"/>
      <c r="O43" s="77"/>
      <c r="P43" s="77"/>
      <c r="Q43" s="77"/>
      <c r="S43" s="150"/>
      <c r="T43" s="150"/>
    </row>
    <row r="44" spans="1:21" ht="15" customHeight="1" thickBot="1">
      <c r="A44" s="66"/>
      <c r="B44" s="69"/>
      <c r="C44" s="69" t="s">
        <v>204</v>
      </c>
      <c r="D44" s="67"/>
      <c r="E44" s="67"/>
      <c r="H44" s="145" t="s">
        <v>224</v>
      </c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7"/>
    </row>
    <row r="45" spans="1:21" ht="16.5" thickBot="1">
      <c r="A45" s="66"/>
      <c r="B45" s="69"/>
      <c r="C45" s="69" t="s">
        <v>205</v>
      </c>
      <c r="D45" s="67"/>
      <c r="E45" s="67"/>
      <c r="H45" s="145" t="s">
        <v>72</v>
      </c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7"/>
    </row>
    <row r="46" spans="1:21" ht="19.149999999999999" customHeight="1" thickBot="1">
      <c r="A46" s="66"/>
      <c r="B46" s="69"/>
      <c r="C46" s="69" t="s">
        <v>206</v>
      </c>
      <c r="D46" s="74"/>
      <c r="E46" s="74"/>
      <c r="F46" s="74"/>
      <c r="G46" s="74"/>
      <c r="H46" s="167" t="s">
        <v>218</v>
      </c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9"/>
    </row>
    <row r="47" spans="1:21" ht="16.5" thickBot="1">
      <c r="A47" s="66"/>
      <c r="B47" s="69"/>
      <c r="C47" s="69"/>
      <c r="D47" s="67"/>
      <c r="E47" s="67"/>
      <c r="H47" s="1" t="s">
        <v>66</v>
      </c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/>
      <c r="U47"/>
    </row>
    <row r="48" spans="1:21" ht="53.45" customHeight="1" thickBot="1">
      <c r="A48" s="66"/>
      <c r="B48" s="69"/>
      <c r="C48" s="69"/>
      <c r="D48" s="67"/>
      <c r="E48" s="67"/>
      <c r="H48" s="178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1"/>
    </row>
    <row r="49" spans="1: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/>
    <row r="53" spans="1:25" hidden="1">
      <c r="B53" t="s">
        <v>219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220</v>
      </c>
      <c r="W53"/>
      <c r="X53"/>
      <c r="Y53"/>
    </row>
    <row r="54" spans="1:25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/>
    <row r="56" spans="1:25" ht="18.600000000000001" hidden="1" customHeight="1">
      <c r="B56" s="76" t="s">
        <v>207</v>
      </c>
    </row>
    <row r="57" spans="1:25" hidden="1">
      <c r="B57" s="2" t="s">
        <v>120</v>
      </c>
    </row>
    <row r="58" spans="1:25" hidden="1"/>
    <row r="59" spans="1:25" hidden="1">
      <c r="B59" s="76" t="s">
        <v>208</v>
      </c>
    </row>
    <row r="60" spans="1:25" hidden="1">
      <c r="B60" s="2" t="s">
        <v>120</v>
      </c>
    </row>
    <row r="61" spans="1:25" hidden="1"/>
    <row r="62" spans="1:25" hidden="1">
      <c r="B62" s="76" t="s">
        <v>212</v>
      </c>
    </row>
    <row r="63" spans="1:25" hidden="1">
      <c r="B63" s="2" t="s">
        <v>120</v>
      </c>
    </row>
    <row r="64" spans="1:25" hidden="1"/>
    <row r="65" spans="2:2" hidden="1">
      <c r="B65" s="76" t="s">
        <v>218</v>
      </c>
    </row>
    <row r="66" spans="2:2" hidden="1">
      <c r="B66" s="2" t="s">
        <v>120</v>
      </c>
    </row>
    <row r="67" spans="2:2" hidden="1"/>
    <row r="68" spans="2:2" hidden="1">
      <c r="B68" s="76" t="s">
        <v>214</v>
      </c>
    </row>
    <row r="69" spans="2:2" hidden="1">
      <c r="B69" s="2" t="s">
        <v>120</v>
      </c>
    </row>
    <row r="70" spans="2:2" hidden="1"/>
    <row r="71" spans="2:2" hidden="1">
      <c r="B71" s="76" t="s">
        <v>221</v>
      </c>
    </row>
    <row r="72" spans="2:2" hidden="1">
      <c r="B72" s="2" t="s">
        <v>120</v>
      </c>
    </row>
    <row r="73" spans="2:2" hidden="1"/>
  </sheetData>
  <sheetProtection formatCells="0"/>
  <protectedRanges>
    <protectedRange sqref="S6:S7 L8:Q9 L11:Q12 H44:T48 H15:T20 H37:T42 H30:T35 H23:T28" name="Range1"/>
  </protectedRanges>
  <mergeCells count="47"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  <mergeCell ref="H30:U30"/>
    <mergeCell ref="H31:U31"/>
    <mergeCell ref="H32:U32"/>
    <mergeCell ref="H34:U34"/>
    <mergeCell ref="K36:L36"/>
    <mergeCell ref="S36:T36"/>
    <mergeCell ref="H25:N25"/>
    <mergeCell ref="P25:U25"/>
    <mergeCell ref="H27:N27"/>
    <mergeCell ref="P27:U27"/>
    <mergeCell ref="K29:L29"/>
    <mergeCell ref="S29:T29"/>
    <mergeCell ref="H22:N22"/>
    <mergeCell ref="P22:U22"/>
    <mergeCell ref="H23:N23"/>
    <mergeCell ref="P23:U23"/>
    <mergeCell ref="H24:N24"/>
    <mergeCell ref="P24:U24"/>
    <mergeCell ref="H16:U16"/>
    <mergeCell ref="H18:L18"/>
    <mergeCell ref="N18:P18"/>
    <mergeCell ref="R18:U18"/>
    <mergeCell ref="H20:L20"/>
    <mergeCell ref="N20:P20"/>
    <mergeCell ref="R20:U20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</mergeCells>
  <conditionalFormatting sqref="A8:E9">
    <cfRule type="expression" dxfId="30" priority="31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E20 Q20:XFD20 A21:XFD21 A22:H25 O22:P25 V22:XFD25 A27:H27 O27:P27 V27:XFD27 W49:XFD49 X50:XFD51 G20:O20">
    <cfRule type="expression" dxfId="29" priority="30">
      <formula>CELL("protect", INDIRECT(ADDRESS(ROW(), COLUMN())))=0</formula>
    </cfRule>
  </conditionalFormatting>
  <conditionalFormatting sqref="A10:XFD10">
    <cfRule type="expression" dxfId="28" priority="29">
      <formula>CELL("protect", INDIRECT(ADDRESS(ROW(), COLUMN())))=0</formula>
    </cfRule>
  </conditionalFormatting>
  <conditionalFormatting sqref="A26:XFD26">
    <cfRule type="expression" dxfId="27" priority="28">
      <formula>CELL("protect", INDIRECT(ADDRESS(ROW(), COLUMN())))=0</formula>
    </cfRule>
  </conditionalFormatting>
  <conditionalFormatting sqref="A28:XFD29 A32:XFD43 A30:G31 V30:XFD31 A46:XFD48 A44:G45 V44:XFD45">
    <cfRule type="expression" dxfId="26" priority="27">
      <formula>CELL("protect", INDIRECT(ADDRESS(ROW(), COLUMN())))=0</formula>
    </cfRule>
  </conditionalFormatting>
  <conditionalFormatting sqref="B56:B57">
    <cfRule type="expression" dxfId="25" priority="26">
      <formula>CELL("protect", INDIRECT(ADDRESS(ROW(), COLUMN())))=0</formula>
    </cfRule>
  </conditionalFormatting>
  <conditionalFormatting sqref="B59:B60">
    <cfRule type="expression" dxfId="24" priority="25">
      <formula>CELL("protect", INDIRECT(ADDRESS(ROW(), COLUMN())))=0</formula>
    </cfRule>
  </conditionalFormatting>
  <conditionalFormatting sqref="B62:B63">
    <cfRule type="expression" dxfId="23" priority="24">
      <formula>CELL("protect", INDIRECT(ADDRESS(ROW(), COLUMN())))=0</formula>
    </cfRule>
  </conditionalFormatting>
  <conditionalFormatting sqref="B65:B66">
    <cfRule type="expression" dxfId="22" priority="23">
      <formula>CELL("protect", INDIRECT(ADDRESS(ROW(), COLUMN())))=0</formula>
    </cfRule>
  </conditionalFormatting>
  <conditionalFormatting sqref="B68:B69">
    <cfRule type="expression" dxfId="21" priority="22">
      <formula>CELL("protect", INDIRECT(ADDRESS(ROW(), COLUMN())))=0</formula>
    </cfRule>
  </conditionalFormatting>
  <conditionalFormatting sqref="B71:B72">
    <cfRule type="expression" dxfId="20" priority="21">
      <formula>CELL("protect", INDIRECT(ADDRESS(ROW(), COLUMN())))=0</formula>
    </cfRule>
  </conditionalFormatting>
  <conditionalFormatting sqref="H34">
    <cfRule type="expression" dxfId="19" priority="20">
      <formula>CELL("protect", INDIRECT(ADDRESS(ROW(), COLUMN())))=0</formula>
    </cfRule>
  </conditionalFormatting>
  <conditionalFormatting sqref="H41">
    <cfRule type="expression" dxfId="18" priority="19">
      <formula>CELL("protect", INDIRECT(ADDRESS(ROW(), COLUMN())))=0</formula>
    </cfRule>
  </conditionalFormatting>
  <conditionalFormatting sqref="H48">
    <cfRule type="expression" dxfId="17" priority="18">
      <formula>CELL("protect", INDIRECT(ADDRESS(ROW(), COLUMN())))=0</formula>
    </cfRule>
  </conditionalFormatting>
  <conditionalFormatting sqref="H33:S33">
    <cfRule type="expression" dxfId="16" priority="17">
      <formula>CELL("protect", INDIRECT(ADDRESS(ROW(), COLUMN())))=0</formula>
    </cfRule>
  </conditionalFormatting>
  <conditionalFormatting sqref="H40:S40">
    <cfRule type="expression" dxfId="15" priority="16">
      <formula>CELL("protect", INDIRECT(ADDRESS(ROW(), COLUMN())))=0</formula>
    </cfRule>
  </conditionalFormatting>
  <conditionalFormatting sqref="H47:S47">
    <cfRule type="expression" dxfId="14" priority="15">
      <formula>CELL("protect", INDIRECT(ADDRESS(ROW(), COLUMN())))=0</formula>
    </cfRule>
  </conditionalFormatting>
  <conditionalFormatting sqref="H30:U30">
    <cfRule type="expression" dxfId="13" priority="14">
      <formula>CELL("protect", INDIRECT(ADDRESS(ROW(), COLUMN())))=0</formula>
    </cfRule>
  </conditionalFormatting>
  <conditionalFormatting sqref="H31:U31">
    <cfRule type="expression" dxfId="12" priority="13">
      <formula>CELL("protect", INDIRECT(ADDRESS(ROW(), COLUMN())))=0</formula>
    </cfRule>
  </conditionalFormatting>
  <conditionalFormatting sqref="H44:U44">
    <cfRule type="expression" dxfId="11" priority="12">
      <formula>CELL("protect", INDIRECT(ADDRESS(ROW(), COLUMN())))=0</formula>
    </cfRule>
  </conditionalFormatting>
  <conditionalFormatting sqref="H45:U45">
    <cfRule type="expression" dxfId="10" priority="11">
      <formula>CELL("protect", INDIRECT(ADDRESS(ROW(), COLUMN())))=0</formula>
    </cfRule>
  </conditionalFormatting>
  <conditionalFormatting sqref="L11">
    <cfRule type="expression" dxfId="9" priority="10">
      <formula>CELL("protect", INDIRECT(ADDRESS(ROW(), COLUMN())))=0</formula>
    </cfRule>
  </conditionalFormatting>
  <conditionalFormatting sqref="L11">
    <cfRule type="expression" dxfId="8" priority="9">
      <formula>CELL("protect", INDIRECT(ADDRESS(ROW(), COLUMN())))=0</formula>
    </cfRule>
  </conditionalFormatting>
  <conditionalFormatting sqref="L11">
    <cfRule type="expression" dxfId="7" priority="8">
      <formula>CELL("protect", INDIRECT(ADDRESS(ROW(), COLUMN())))=0</formula>
    </cfRule>
  </conditionalFormatting>
  <conditionalFormatting sqref="L8">
    <cfRule type="expression" dxfId="6" priority="7">
      <formula>CELL("protect", INDIRECT(ADDRESS(ROW(), COLUMN())))=0</formula>
    </cfRule>
  </conditionalFormatting>
  <conditionalFormatting sqref="L8">
    <cfRule type="expression" dxfId="5" priority="6">
      <formula>CELL("protect", INDIRECT(ADDRESS(ROW(), COLUMN())))=0</formula>
    </cfRule>
  </conditionalFormatting>
  <conditionalFormatting sqref="H37:U38">
    <cfRule type="expression" dxfId="4" priority="5">
      <formula>CELL("protect", INDIRECT(ADDRESS(ROW(), COLUMN())))=0</formula>
    </cfRule>
  </conditionalFormatting>
  <conditionalFormatting sqref="H37:U38">
    <cfRule type="expression" dxfId="3" priority="4">
      <formula>CELL("protect", INDIRECT(ADDRESS(ROW(), COLUMN())))=0</formula>
    </cfRule>
  </conditionalFormatting>
  <conditionalFormatting sqref="H30:U30">
    <cfRule type="expression" dxfId="2" priority="3">
      <formula>CELL("protect", INDIRECT(ADDRESS(ROW(), COLUMN())))=0</formula>
    </cfRule>
  </conditionalFormatting>
  <conditionalFormatting sqref="H44:U44">
    <cfRule type="expression" dxfId="1" priority="2">
      <formula>CELL("protect", INDIRECT(ADDRESS(ROW(), COLUMN())))=0</formula>
    </cfRule>
  </conditionalFormatting>
  <conditionalFormatting sqref="F20">
    <cfRule type="expression" dxfId="0" priority="1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0600-000000000000}">
      <formula1>$B$71:$B$72</formula1>
    </dataValidation>
    <dataValidation type="list" allowBlank="1" showInputMessage="1" showErrorMessage="1" sqref="H32:U32" xr:uid="{00000000-0002-0000-0600-000001000000}">
      <formula1>$B$68:$B$69</formula1>
    </dataValidation>
    <dataValidation type="list" allowBlank="1" showInputMessage="1" showErrorMessage="1" sqref="H46:U46" xr:uid="{00000000-0002-0000-0600-000002000000}">
      <formula1>$B$65:$B$66</formula1>
    </dataValidation>
    <dataValidation type="list" allowBlank="1" showInputMessage="1" showErrorMessage="1" sqref="H25" xr:uid="{00000000-0002-0000-0600-000003000000}">
      <formula1>$B$62:$B$63</formula1>
    </dataValidation>
    <dataValidation type="list" allowBlank="1" showInputMessage="1" showErrorMessage="1" sqref="R18:U18 N18:O18" xr:uid="{00000000-0002-0000-0600-000004000000}">
      <formula1>$B$59:$B$60</formula1>
    </dataValidation>
    <dataValidation type="list" allowBlank="1" showInputMessage="1" showErrorMessage="1" sqref="H18:L18 P25:U25" xr:uid="{00000000-0002-0000-0600-000005000000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72" orientation="portrait" r:id="rId1"/>
  <headerFooter>
    <oddFooter>&amp;C-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outdr ter 33blow</vt:lpstr>
      <vt:lpstr>outdr ter 33blow (2)</vt:lpstr>
      <vt:lpstr>cleat</vt:lpstr>
      <vt:lpstr>cleat Trefoil 2 REV.</vt:lpstr>
      <vt:lpstr>XLPE</vt:lpstr>
      <vt:lpstr>XLPE (2)</vt:lpstr>
      <vt:lpstr>LV_Turnkey (2)</vt:lpstr>
      <vt:lpstr>LV_Turnkey B</vt:lpstr>
      <vt:lpstr>cleat!Print_Area</vt:lpstr>
      <vt:lpstr>'cleat Trefoil 2 REV.'!Print_Area</vt:lpstr>
      <vt:lpstr>'LV_Turnkey (2)'!Print_Area</vt:lpstr>
      <vt:lpstr>'LV_Turnkey B'!Print_Area</vt:lpstr>
      <vt:lpstr>'outdr ter 33blow'!Print_Area</vt:lpstr>
      <vt:lpstr>'outdr ter 33blow (2)'!Print_Area</vt:lpstr>
      <vt:lpstr>XLPE!Print_Area</vt:lpstr>
      <vt:lpstr>'XLPE (2)'!Print_Area</vt:lpstr>
      <vt:lpstr>cleat!Print_Titles</vt:lpstr>
      <vt:lpstr>'cleat Trefoil 2 REV.'!Print_Titles</vt:lpstr>
      <vt:lpstr>'outdr ter 33blow'!Print_Titles</vt:lpstr>
      <vt:lpstr>'outdr ter 33blow (2)'!Print_Titles</vt:lpstr>
      <vt:lpstr>XLPE!Print_Titles</vt:lpstr>
      <vt:lpstr>'XLPE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Suttirak Suppakitkaroon</dc:creator>
  <cp:lastModifiedBy>Jarupoj Tanomrak</cp:lastModifiedBy>
  <dcterms:created xsi:type="dcterms:W3CDTF">2026-01-29T09:18:18Z</dcterms:created>
  <dcterms:modified xsi:type="dcterms:W3CDTF">2026-03-18T08:20:15Z</dcterms:modified>
</cp:coreProperties>
</file>