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phnechongth/AB1X/Tester/"/>
    </mc:Choice>
  </mc:AlternateContent>
  <xr:revisionPtr revIDLastSave="0" documentId="8_{308B733F-C232-5C4E-B70F-C9F462180B28}" xr6:coauthVersionLast="47" xr6:coauthVersionMax="47" xr10:uidLastSave="{00000000-0000-0000-0000-000000000000}"/>
  <bookViews>
    <workbookView xWindow="4380" yWindow="3280" windowWidth="27640" windowHeight="16680" activeTab="1" xr2:uid="{3B882CB8-8E57-8F4C-A58A-0BE48B095219}"/>
  </bookViews>
  <sheets>
    <sheet name="NoeyCleat" sheetId="10" r:id="rId1"/>
    <sheet name="NoeyTerm" sheetId="11" r:id="rId2"/>
    <sheet name="Noey17" sheetId="9" r:id="rId3"/>
    <sheet name="Noey18" sheetId="8" r:id="rId4"/>
    <sheet name="Thailnad" sheetId="7" r:id="rId5"/>
    <sheet name="LV_Turnkey" sheetId="6" r:id="rId6"/>
    <sheet name="XLPE" sheetId="5" r:id="rId7"/>
    <sheet name="cleat 33 kV Trefoil_CMP" sheetId="4" r:id="rId8"/>
    <sheet name="MExico" sheetId="3" r:id="rId9"/>
    <sheet name="China, Ruber, Med pol" sheetId="2" r:id="rId10"/>
    <sheet name="Sheet1" sheetId="1" r:id="rId11"/>
  </sheets>
  <definedNames>
    <definedName name="_xlnm.Print_Area" localSheetId="9">'China, Ruber, Med pol'!$A$1:$O$44</definedName>
    <definedName name="_xlnm.Print_Area" localSheetId="7">'cleat 33 kV Trefoil_CMP'!$A$1:$O$42</definedName>
    <definedName name="_xlnm.Print_Area" localSheetId="8">MExico!$A$1:$O$44</definedName>
    <definedName name="_xlnm.Print_Area" localSheetId="0">NoeyCleat!$A$1:$O$42</definedName>
    <definedName name="_xlnm.Print_Titles" localSheetId="9">'China, Ruber, Med pol'!$1:$8</definedName>
    <definedName name="_xlnm.Print_Titles" localSheetId="7">'cleat 33 kV Trefoil_CMP'!$1:$8</definedName>
    <definedName name="_xlnm.Print_Titles" localSheetId="8">MExico!$1:$8</definedName>
    <definedName name="_xlnm.Print_Titles" localSheetId="0">NoeyCleat!$1:$8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4" i="10" l="1"/>
  <c r="Y27" i="10"/>
  <c r="Z27" i="10"/>
  <c r="S28" i="10"/>
  <c r="W29" i="10" s="1"/>
  <c r="X14" i="4"/>
  <c r="Y27" i="4"/>
  <c r="Z27" i="4"/>
  <c r="S28" i="4"/>
  <c r="W29" i="4" s="1"/>
</calcChain>
</file>

<file path=xl/sharedStrings.xml><?xml version="1.0" encoding="utf-8"?>
<sst xmlns="http://schemas.openxmlformats.org/spreadsheetml/2006/main" count="929" uniqueCount="226">
  <si>
    <t>X</t>
  </si>
  <si>
    <t>Other*</t>
  </si>
  <si>
    <t>Insulation Class 35 kV</t>
  </si>
  <si>
    <t>Insulation Class 25 kV</t>
  </si>
  <si>
    <t>Insulation Class 15 kV</t>
  </si>
  <si>
    <t>Extremely Heavy Pollution</t>
  </si>
  <si>
    <t>Heavy Pollution</t>
  </si>
  <si>
    <t>Medium Pollution</t>
  </si>
  <si>
    <t>2 x 3 bolt holes NEMA Pad</t>
  </si>
  <si>
    <t>2 x 2 bolt holes NEMA Pad</t>
  </si>
  <si>
    <t>2 x 1 bolt holes NEMA Pad</t>
  </si>
  <si>
    <t xml:space="preserve">Other </t>
  </si>
  <si>
    <t>Porcelain</t>
  </si>
  <si>
    <t>conforming with EGAT requirement (IEEE 48)</t>
  </si>
  <si>
    <t>Note: Although the conductor size range in this proposal does not conform to the XLPE proposal data, the cable termination is still suitable for use with the proposed XLPE cables.</t>
  </si>
  <si>
    <t>mm</t>
  </si>
  <si>
    <t>Max</t>
  </si>
  <si>
    <t>Min</t>
  </si>
  <si>
    <t>- Insulation Diameter (min-max)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</si>
  <si>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</si>
  <si>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- Conductor Range</t>
  </si>
  <si>
    <t>For XLPE Cable Suitability</t>
  </si>
  <si>
    <t>k.</t>
  </si>
  <si>
    <t>*in case of other, please specify in the box below :</t>
  </si>
  <si>
    <t>Aerial Connector</t>
  </si>
  <si>
    <t>j.</t>
  </si>
  <si>
    <t>Operating Environments</t>
  </si>
  <si>
    <t>i.</t>
  </si>
  <si>
    <t>kV</t>
  </si>
  <si>
    <t>Partial discharge</t>
  </si>
  <si>
    <t>h.</t>
  </si>
  <si>
    <t>min</t>
  </si>
  <si>
    <t>Power frequency (Dry)</t>
  </si>
  <si>
    <t>g.</t>
  </si>
  <si>
    <t>Impulse Withstand Voltage (BIL)</t>
  </si>
  <si>
    <t>f.</t>
  </si>
  <si>
    <t>Rated Voltage</t>
  </si>
  <si>
    <t>e.</t>
  </si>
  <si>
    <t>Silicone Ruber</t>
  </si>
  <si>
    <t>Material of Insulator</t>
  </si>
  <si>
    <t>d.</t>
  </si>
  <si>
    <t>Applied Standard</t>
  </si>
  <si>
    <t>c.</t>
  </si>
  <si>
    <t>Cold Shrink/QTII 5652/No1</t>
  </si>
  <si>
    <t>Type / Model / Cat. NO.</t>
  </si>
  <si>
    <t>b.</t>
  </si>
  <si>
    <t>China</t>
  </si>
  <si>
    <t>- Country of origin</t>
  </si>
  <si>
    <t>DadarMfg</t>
  </si>
  <si>
    <t>- Manufacturer</t>
  </si>
  <si>
    <t>- Cable Terminations</t>
  </si>
  <si>
    <t>Manufacturer and Country of Origin</t>
  </si>
  <si>
    <t>a.</t>
  </si>
  <si>
    <t>1AB16-1</t>
  </si>
  <si>
    <t>ITEM NO.</t>
  </si>
  <si>
    <t>ViRYN</t>
  </si>
  <si>
    <t>BIDDER</t>
  </si>
  <si>
    <t>1AB16</t>
  </si>
  <si>
    <t>SCHEDULE NO.</t>
  </si>
  <si>
    <t>RTS3-S-02</t>
  </si>
  <si>
    <t xml:space="preserve">PROCUREMENT REFERENCE </t>
  </si>
  <si>
    <t>PROPOSAL DATA</t>
  </si>
  <si>
    <t>Nov. 2024</t>
  </si>
  <si>
    <t>FORM PD 326.MV</t>
  </si>
  <si>
    <t>33 kV and below CABLE TERMINATIONS
(for outdoor termination)</t>
  </si>
  <si>
    <t>Silicone Rubber</t>
  </si>
  <si>
    <t>Mexico</t>
  </si>
  <si>
    <t>Composite</t>
  </si>
  <si>
    <t>Metallic</t>
  </si>
  <si>
    <t>Flat</t>
  </si>
  <si>
    <t>Trefoil</t>
  </si>
  <si>
    <t>conforming with EGAT requirement (IEC 61914)</t>
  </si>
  <si>
    <t>The values shall be based on the same cables and conditions of the test for resistance to electromechanical forces specified in IEC 61914.</t>
  </si>
  <si>
    <t xml:space="preserve">Note [4]: </t>
  </si>
  <si>
    <t>The data specified in this item shall conform to the Type Test Report of the type proposed.</t>
  </si>
  <si>
    <t xml:space="preserve">Note [3]: 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</si>
  <si>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</si>
  <si>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>a) Fibre reinforced resin materials are not considered to be composite.</t>
  </si>
  <si>
    <r>
      <rPr>
        <b/>
        <sz val="9"/>
        <rFont val="Times New Roman"/>
        <family val="1"/>
      </rPr>
      <t>Definitions comply with IEC 61914.</t>
    </r>
    <r>
      <rPr>
        <sz val="9"/>
        <rFont val="Times New Roman"/>
        <family val="1"/>
      </rPr>
      <t xml:space="preserve">
</t>
    </r>
    <r>
      <rPr>
        <b/>
        <sz val="9"/>
        <rFont val="Times New Roman"/>
        <family val="1"/>
      </rPr>
      <t>metallic</t>
    </r>
    <r>
      <rPr>
        <sz val="9"/>
        <rFont val="Times New Roman"/>
        <family val="1"/>
      </rPr>
      <t xml:space="preserve"> consisting of </t>
    </r>
    <r>
      <rPr>
        <u/>
        <sz val="9"/>
        <rFont val="Times New Roman"/>
        <family val="1"/>
      </rPr>
      <t>metal only.</t>
    </r>
    <r>
      <rPr>
        <sz val="9"/>
        <rFont val="Times New Roman"/>
        <family val="1"/>
      </rPr>
      <t xml:space="preserve">
</t>
    </r>
    <r>
      <rPr>
        <b/>
        <sz val="9"/>
        <rFont val="Times New Roman"/>
        <family val="1"/>
      </rPr>
      <t>composite</t>
    </r>
    <r>
      <rPr>
        <sz val="9"/>
        <rFont val="Times New Roman"/>
        <family val="1"/>
      </rPr>
      <t xml:space="preserve"> consisting of </t>
    </r>
    <r>
      <rPr>
        <u/>
        <sz val="9"/>
        <rFont val="Times New Roman"/>
        <family val="1"/>
      </rPr>
      <t>metallic</t>
    </r>
    <r>
      <rPr>
        <sz val="9"/>
        <rFont val="Times New Roman"/>
        <family val="1"/>
      </rPr>
      <t xml:space="preserve"> and </t>
    </r>
    <r>
      <rPr>
        <u/>
        <sz val="9"/>
        <rFont val="Times New Roman"/>
        <family val="1"/>
      </rPr>
      <t>non-metallic materials</t>
    </r>
    <r>
      <rPr>
        <sz val="9"/>
        <rFont val="Times New Roman"/>
        <family val="1"/>
      </rPr>
      <t>.</t>
    </r>
  </si>
  <si>
    <t xml:space="preserve">Note [2]: </t>
  </si>
  <si>
    <t>เพิ่มเพื่อความชัดเจน</t>
  </si>
  <si>
    <t>The exact size of Cable Cleat shall be confirmed after the exact overall diameter of XLPE power cable is confirmed during project stage.</t>
  </si>
  <si>
    <t xml:space="preserve">Note [1]: </t>
  </si>
  <si>
    <t>ขอย้ายไปด้านบนได้ไหม</t>
  </si>
  <si>
    <t>Formation</t>
  </si>
  <si>
    <t>Flat force withstrand force</t>
  </si>
  <si>
    <t>- Lineal spacing (D)</t>
  </si>
  <si>
    <t>Trefoil wtihstrand force</t>
  </si>
  <si>
    <t>kA</t>
  </si>
  <si>
    <t>- The peak short circuit current of the 2nd shortcircuit</t>
  </si>
  <si>
    <t>Force</t>
  </si>
  <si>
    <t>- Cable centre spacing (S)</t>
  </si>
  <si>
    <r>
      <t>Resistant to electromechanical forces, withstanding more than one short circuit</t>
    </r>
    <r>
      <rPr>
        <vertAlign val="superscript"/>
        <sz val="9"/>
        <color theme="1"/>
        <rFont val="Times New Roman"/>
        <family val="1"/>
      </rPr>
      <t>[3]</t>
    </r>
  </si>
  <si>
    <t>TREFOIL Force</t>
  </si>
  <si>
    <t>FLAT Force</t>
  </si>
  <si>
    <t>Lineal Spacing</t>
  </si>
  <si>
    <t>I short circuit</t>
  </si>
  <si>
    <t>V</t>
  </si>
  <si>
    <t>with Standard Polymer Liner
Standard Polymer Liners are classified as Low Smoke and 
Fume Zero Halogen (LSF0H), Phosphorus-free</t>
  </si>
  <si>
    <t>and</t>
  </si>
  <si>
    <t>EGAT</t>
  </si>
  <si>
    <t xml:space="preserve">316L Stainless Steel </t>
  </si>
  <si>
    <t>Material :</t>
  </si>
  <si>
    <t>แก้รูปแบบ</t>
  </si>
  <si>
    <r>
      <t>Classification according to material</t>
    </r>
    <r>
      <rPr>
        <vertAlign val="superscript"/>
        <sz val="9"/>
        <rFont val="Times New Roman"/>
        <family val="1"/>
      </rPr>
      <t>[2]</t>
    </r>
  </si>
  <si>
    <t>*in case of other, please specify in the box below:</t>
  </si>
  <si>
    <t>ในขั้นบริหารสัญญา</t>
  </si>
  <si>
    <t>mm.</t>
  </si>
  <si>
    <t>- Overall Diameter Range</t>
  </si>
  <si>
    <t>ตัดออกเนื่องจากพิจารณาขนาด</t>
  </si>
  <si>
    <r>
      <t>For XLPE Cable Suitability</t>
    </r>
    <r>
      <rPr>
        <vertAlign val="superscript"/>
        <sz val="9"/>
        <rFont val="Times New Roman"/>
        <family val="1"/>
      </rPr>
      <t>[1]</t>
    </r>
  </si>
  <si>
    <t>Calculated result</t>
  </si>
  <si>
    <t>จะพิจารณาในขั้นบริหารสัญญา</t>
  </si>
  <si>
    <t xml:space="preserve">PATRIOT-HT (SDSS) SDSS030035HT </t>
  </si>
  <si>
    <r>
      <t>Type/Model</t>
    </r>
    <r>
      <rPr>
        <vertAlign val="superscript"/>
        <sz val="9"/>
        <rFont val="Times New Roman"/>
        <family val="1"/>
      </rPr>
      <t>[1]</t>
    </r>
  </si>
  <si>
    <t>FLAT</t>
  </si>
  <si>
    <t xml:space="preserve">ปรับให้พิจารณาแค่ type โดยขนาดของ cleat </t>
  </si>
  <si>
    <t>Force/1Cleat must be more than RF EGAT</t>
  </si>
  <si>
    <t>Australia</t>
  </si>
  <si>
    <t>Rynchong Corp</t>
  </si>
  <si>
    <t>ANY</t>
  </si>
  <si>
    <t>non-metallic part</t>
  </si>
  <si>
    <t>SS316L Stainless steel</t>
  </si>
  <si>
    <t>ALUMINUM 5000 SERIES</t>
  </si>
  <si>
    <t>Metalic part</t>
  </si>
  <si>
    <t>Composite:</t>
  </si>
  <si>
    <t>1AB16-2</t>
  </si>
  <si>
    <t>Metallic:</t>
  </si>
  <si>
    <t>waiting for discussion with P'Ja</t>
  </si>
  <si>
    <t>HSIS-S-01</t>
  </si>
  <si>
    <t>Material</t>
  </si>
  <si>
    <t>comment</t>
  </si>
  <si>
    <t>รายการตรวจ Cable cleat</t>
  </si>
  <si>
    <t>Dec.2024</t>
  </si>
  <si>
    <t>PD 326.CC</t>
  </si>
  <si>
    <t>CABLE CLEATS</t>
  </si>
  <si>
    <t>Drawing and dimension of Cable Reels/Drums together with packing details shall be submitted during project stage for EGAT approval.</t>
  </si>
  <si>
    <t>Conductor Temperature not in Excess of 90°C at 100% Load Factor and at an Ambient Temperature of 45°C</t>
  </si>
  <si>
    <t>m</t>
  </si>
  <si>
    <t>Length of Cable per Reel</t>
  </si>
  <si>
    <t>s.</t>
  </si>
  <si>
    <r>
      <t>Ω</t>
    </r>
    <r>
      <rPr>
        <sz val="8.5"/>
        <rFont val="Times New Roman"/>
        <family val="1"/>
      </rPr>
      <t>/km</t>
    </r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</si>
  <si>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</si>
  <si>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</si>
  <si>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</si>
  <si>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</si>
  <si>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</si>
  <si>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</si>
  <si>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</si>
  <si>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</si>
  <si>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>A</t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</si>
  <si>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</si>
  <si>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</si>
  <si>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t>p.</t>
  </si>
  <si>
    <t>o.</t>
  </si>
  <si>
    <t>Overall Diameter (min-max)</t>
  </si>
  <si>
    <t>n.</t>
  </si>
  <si>
    <t>/</t>
  </si>
  <si>
    <t>PVC</t>
  </si>
  <si>
    <t>(Material / Thickness)</t>
  </si>
  <si>
    <t>Oversheath (Jacket)</t>
  </si>
  <si>
    <t>m.</t>
  </si>
  <si>
    <t>Polyester Non-Woven Tape</t>
  </si>
  <si>
    <t>Cushion</t>
  </si>
  <si>
    <t>l.</t>
  </si>
  <si>
    <t>Copper tape</t>
  </si>
  <si>
    <t>Metal Screen/Sheath</t>
  </si>
  <si>
    <t>Extruded Semi-Conducting Insulation Screen (min-max)</t>
  </si>
  <si>
    <t xml:space="preserve">Outside Diameter of Insulation with </t>
  </si>
  <si>
    <t>Semi-conductive XLPE</t>
  </si>
  <si>
    <t>Insulation Screen</t>
  </si>
  <si>
    <t>XLPE</t>
  </si>
  <si>
    <t>Insulation</t>
  </si>
  <si>
    <t>Conductor Screen</t>
  </si>
  <si>
    <t>Outside Diameter of Stranded Conductor</t>
  </si>
  <si>
    <t>- Diameter of Each Wire</t>
  </si>
  <si>
    <t>- No. of Wires in the Stranded Conductor</t>
  </si>
  <si>
    <t>Silver</t>
  </si>
  <si>
    <t>- Material of Conductor</t>
  </si>
  <si>
    <r>
      <t>mm</t>
    </r>
    <r>
      <rPr>
        <vertAlign val="superscript"/>
        <sz val="10"/>
        <rFont val="Times New Roman"/>
        <family val="1"/>
      </rPr>
      <t>2</t>
    </r>
  </si>
  <si>
    <t>Calculated Cross-Sectional Area of Stranded Conductor</t>
  </si>
  <si>
    <t>Voltage Class</t>
  </si>
  <si>
    <t>conforming with EGAT requirement ( ICEA Pub. No S-93-639)</t>
  </si>
  <si>
    <t>CV(TS)</t>
  </si>
  <si>
    <t>Thailand</t>
  </si>
  <si>
    <t>Rynchong</t>
  </si>
  <si>
    <t>1AB17-1</t>
  </si>
  <si>
    <t>1AB17</t>
  </si>
  <si>
    <t>Aug. 2025</t>
  </si>
  <si>
    <t>FORM PD 322</t>
  </si>
  <si>
    <t>115 kV and below XLPE POWER CABLE</t>
  </si>
  <si>
    <t>conforming with EGAT requirement (ASTM A363)</t>
  </si>
  <si>
    <t>conforming with EGAT requirement (ASTM B3, ASTM B8)</t>
  </si>
  <si>
    <t>conforming with EGAT requirement (ASTM B231, ASTM B232)</t>
  </si>
  <si>
    <t>conforming with EGAT requirement (TIS11-2553)</t>
  </si>
  <si>
    <t>conforming with EGAT requirement (TIS838-2531)</t>
  </si>
  <si>
    <t>conforming with EGAT requirement (TIS11-2559)</t>
  </si>
  <si>
    <t>&lt;&lt; optional in case of tests are required</t>
  </si>
  <si>
    <t>Note: Routine tests and/or Quality Conformance Tests are required for equipment in a, b, and c.</t>
  </si>
  <si>
    <t>- Applied Standards</t>
  </si>
  <si>
    <t>Japan</t>
  </si>
  <si>
    <t xml:space="preserve">- Country </t>
  </si>
  <si>
    <t xml:space="preserve">Bangkok Cable Co., Ltd. </t>
  </si>
  <si>
    <t xml:space="preserve">- Manufacturer </t>
  </si>
  <si>
    <t>Aluminum Conductor</t>
  </si>
  <si>
    <t>DaphneCho</t>
  </si>
  <si>
    <t>Overhead Ground Wire</t>
  </si>
  <si>
    <t>Annealed Copper Ground Wire</t>
  </si>
  <si>
    <t>NYY</t>
  </si>
  <si>
    <t>THW (IEC01)</t>
  </si>
  <si>
    <t>Lighting cable (THW and/or NYY)</t>
  </si>
  <si>
    <t>Twisted Pair Control Cable</t>
  </si>
  <si>
    <t>Control Cable</t>
  </si>
  <si>
    <t>Power Cable</t>
  </si>
  <si>
    <t>Power Cable and Control Cable</t>
  </si>
  <si>
    <r>
      <t>1AB18-1, 1AB18-2, 1AB18-3, 1AB18-4, 1AB18-5, 1AB18-6</t>
    </r>
    <r>
      <rPr>
        <sz val="12"/>
        <rFont val="Times New Roman"/>
        <family val="1"/>
      </rPr>
      <t>, 1AB18-7</t>
    </r>
  </si>
  <si>
    <t>1AB18</t>
  </si>
  <si>
    <t>Oct.2024</t>
  </si>
  <si>
    <t>FORM PD-LV Cable &amp; Con</t>
  </si>
  <si>
    <t>LOW VOLTAGE CABLE AND CONDUCTOR</t>
  </si>
  <si>
    <t>`</t>
  </si>
  <si>
    <t>Thailnad</t>
  </si>
  <si>
    <t>ASDF</t>
  </si>
  <si>
    <t>ABC</t>
  </si>
  <si>
    <t>Phelph Dodge</t>
  </si>
  <si>
    <t>NongNoey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</si>
</sst>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ptos Narrow"/>
      <family val="2"/>
      <charset val="222"/>
      <scheme val="minor"/>
    </font>
    <font>
      <sz val="10"/>
      <name val="Times New Roman"/>
      <family val="1"/>
    </font>
    <font>
      <sz val="12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H Sarabun New"/>
      <family val="2"/>
    </font>
    <font>
      <sz val="9"/>
      <color theme="1"/>
      <name val="TH Sarabun New"/>
      <family val="2"/>
    </font>
    <font>
      <sz val="9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9"/>
      <name val="Times New Roman"/>
      <family val="1"/>
    </font>
    <font>
      <sz val="9"/>
      <color rgb="FF0000FF"/>
      <name val="Times New Roman"/>
      <family val="1"/>
    </font>
    <font>
      <sz val="9"/>
      <color rgb="FFFF00FF"/>
      <name val="Times New Roman"/>
      <family val="1"/>
    </font>
    <font>
      <sz val="9"/>
      <color rgb="FFFF0000"/>
      <name val="Times New Roman"/>
      <family val="1"/>
    </font>
    <font>
      <vertAlign val="superscript"/>
      <sz val="9"/>
      <color theme="1"/>
      <name val="Times New Roman"/>
      <family val="1"/>
    </font>
    <font>
      <sz val="8"/>
      <name val="Times New Roman"/>
      <family val="1"/>
    </font>
    <font>
      <vertAlign val="superscript"/>
      <sz val="9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sz val="8.5"/>
      <name val="Times New Roman"/>
      <family val="1"/>
    </font>
    <font>
      <vertAlign val="superscript"/>
      <sz val="10"/>
      <name val="Times New Roman"/>
      <family val="1"/>
    </font>
    <font>
      <b/>
      <vertAlign val="superscript"/>
      <sz val="10"/>
      <name val="Times New Roman"/>
      <family val="1"/>
    </font>
    <font>
      <u/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FF"/>
      <name val="Times New Roman"/>
      <family val="1"/>
    </font>
    <font>
      <sz val="11"/>
      <name val="Aptos Narrow"/>
      <family val="2"/>
      <scheme val="minor"/>
    </font>
    <font>
      <u/>
      <sz val="12"/>
      <color theme="1"/>
      <name val="Times New Roman"/>
      <family val="1"/>
    </font>
    <font>
      <sz val="12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12" fillId="0" borderId="0"/>
    <xf numFmtId="0" fontId="1" fillId="0" borderId="0"/>
  </cellStyleXfs>
  <cellXfs count="189">
    <xf numFmtId="0" fontId="0" fillId="0" borderId="0" xfId="0"/>
    <xf numFmtId="0" fontId="2" fillId="0" borderId="0" xfId="1" applyFont="1"/>
    <xf numFmtId="0" fontId="2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4" fillId="0" borderId="0" xfId="1" applyFont="1"/>
    <xf numFmtId="0" fontId="2" fillId="0" borderId="0" xfId="1" quotePrefix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center"/>
    </xf>
    <xf numFmtId="0" fontId="6" fillId="0" borderId="0" xfId="2" applyFont="1" applyAlignment="1">
      <alignment horizontal="left" vertical="top" wrapText="1"/>
    </xf>
    <xf numFmtId="0" fontId="2" fillId="0" borderId="1" xfId="1" applyFont="1" applyBorder="1" applyAlignment="1" applyProtection="1">
      <alignment shrinkToFit="1"/>
      <protection locked="0"/>
    </xf>
    <xf numFmtId="0" fontId="2" fillId="0" borderId="2" xfId="1" applyFont="1" applyBorder="1" applyAlignment="1" applyProtection="1">
      <alignment shrinkToFit="1"/>
      <protection locked="0"/>
    </xf>
    <xf numFmtId="0" fontId="7" fillId="0" borderId="0" xfId="1" applyFont="1"/>
    <xf numFmtId="0" fontId="7" fillId="0" borderId="0" xfId="1" quotePrefix="1" applyFont="1"/>
    <xf numFmtId="0" fontId="6" fillId="0" borderId="1" xfId="1" applyFont="1" applyBorder="1" applyAlignment="1" applyProtection="1">
      <alignment shrinkToFit="1"/>
      <protection locked="0"/>
    </xf>
    <xf numFmtId="0" fontId="9" fillId="0" borderId="0" xfId="1" applyFont="1"/>
    <xf numFmtId="0" fontId="2" fillId="0" borderId="3" xfId="1" applyFont="1" applyBorder="1" applyAlignment="1" applyProtection="1">
      <alignment horizontal="left" vertical="top" shrinkToFit="1"/>
      <protection locked="0"/>
    </xf>
    <xf numFmtId="0" fontId="2" fillId="0" borderId="4" xfId="1" applyFont="1" applyBorder="1" applyAlignment="1" applyProtection="1">
      <alignment horizontal="left" vertical="top" shrinkToFit="1"/>
      <protection locked="0"/>
    </xf>
    <xf numFmtId="0" fontId="2" fillId="0" borderId="5" xfId="1" applyFont="1" applyBorder="1" applyAlignment="1" applyProtection="1">
      <alignment horizontal="left" vertical="top" shrinkToFit="1"/>
      <protection locked="0"/>
    </xf>
    <xf numFmtId="0" fontId="2" fillId="0" borderId="3" xfId="1" applyFont="1" applyBorder="1" applyAlignment="1" applyProtection="1">
      <alignment horizontal="center" shrinkToFit="1"/>
      <protection locked="0"/>
    </xf>
    <xf numFmtId="0" fontId="2" fillId="0" borderId="4" xfId="1" applyFont="1" applyBorder="1" applyAlignment="1" applyProtection="1">
      <alignment horizontal="center" shrinkToFit="1"/>
      <protection locked="0"/>
    </xf>
    <xf numFmtId="0" fontId="2" fillId="0" borderId="5" xfId="1" applyFont="1" applyBorder="1" applyAlignment="1" applyProtection="1">
      <alignment horizontal="center" shrinkToFit="1"/>
      <protection locked="0"/>
    </xf>
    <xf numFmtId="0" fontId="2" fillId="0" borderId="1" xfId="1" applyFont="1" applyBorder="1" applyAlignment="1" applyProtection="1">
      <alignment horizontal="center" shrinkToFit="1"/>
      <protection locked="0"/>
    </xf>
    <xf numFmtId="0" fontId="1" fillId="0" borderId="0" xfId="1"/>
    <xf numFmtId="0" fontId="2" fillId="0" borderId="3" xfId="2" applyFont="1" applyBorder="1" applyAlignment="1" applyProtection="1">
      <alignment horizontal="center" shrinkToFit="1"/>
      <protection locked="0"/>
    </xf>
    <xf numFmtId="0" fontId="2" fillId="0" borderId="4" xfId="2" applyFont="1" applyBorder="1" applyAlignment="1" applyProtection="1">
      <alignment horizontal="center" shrinkToFit="1"/>
      <protection locked="0"/>
    </xf>
    <xf numFmtId="0" fontId="2" fillId="0" borderId="5" xfId="2" applyFont="1" applyBorder="1" applyAlignment="1" applyProtection="1">
      <alignment horizontal="center" shrinkToFit="1"/>
      <protection locked="0"/>
    </xf>
    <xf numFmtId="0" fontId="9" fillId="0" borderId="0" xfId="1" applyFont="1" applyAlignment="1">
      <alignment wrapText="1"/>
    </xf>
    <xf numFmtId="0" fontId="10" fillId="0" borderId="0" xfId="1" applyFont="1"/>
    <xf numFmtId="0" fontId="2" fillId="0" borderId="6" xfId="1" applyFont="1" applyBorder="1" applyAlignment="1" applyProtection="1">
      <alignment horizontal="center" shrinkToFit="1"/>
      <protection locked="0"/>
    </xf>
    <xf numFmtId="0" fontId="2" fillId="0" borderId="7" xfId="1" applyFont="1" applyBorder="1" applyAlignment="1" applyProtection="1">
      <alignment horizontal="center" shrinkToFit="1"/>
      <protection locked="0"/>
    </xf>
    <xf numFmtId="0" fontId="2" fillId="0" borderId="8" xfId="1" applyFont="1" applyBorder="1" applyAlignment="1" applyProtection="1">
      <alignment horizontal="center" shrinkToFit="1"/>
      <protection locked="0"/>
    </xf>
    <xf numFmtId="0" fontId="2" fillId="0" borderId="9" xfId="1" applyFont="1" applyBorder="1" applyAlignment="1">
      <alignment horizontal="center"/>
    </xf>
    <xf numFmtId="0" fontId="2" fillId="0" borderId="0" xfId="1" applyFont="1" applyAlignment="1">
      <alignment horizontal="right" wrapText="1"/>
    </xf>
    <xf numFmtId="0" fontId="4" fillId="0" borderId="0" xfId="1" applyFont="1" applyAlignment="1">
      <alignment horizontal="center" wrapText="1"/>
    </xf>
    <xf numFmtId="0" fontId="11" fillId="0" borderId="0" xfId="1" applyFont="1" applyAlignment="1">
      <alignment horizontal="center" vertical="center" wrapText="1"/>
    </xf>
    <xf numFmtId="0" fontId="13" fillId="0" borderId="0" xfId="3" applyFont="1"/>
    <xf numFmtId="0" fontId="14" fillId="0" borderId="0" xfId="4" applyFont="1"/>
    <xf numFmtId="0" fontId="15" fillId="0" borderId="0" xfId="4" applyFont="1"/>
    <xf numFmtId="0" fontId="16" fillId="0" borderId="0" xfId="4" applyFont="1" applyAlignment="1">
      <alignment horizontal="left" vertical="top" wrapText="1"/>
    </xf>
    <xf numFmtId="0" fontId="17" fillId="0" borderId="0" xfId="4" applyFont="1" applyAlignment="1">
      <alignment vertical="top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left" vertical="top"/>
    </xf>
    <xf numFmtId="0" fontId="16" fillId="0" borderId="0" xfId="4" applyFont="1"/>
    <xf numFmtId="0" fontId="16" fillId="0" borderId="0" xfId="4" applyFont="1" applyAlignment="1">
      <alignment horizontal="left"/>
    </xf>
    <xf numFmtId="0" fontId="17" fillId="0" borderId="0" xfId="4" applyFont="1"/>
    <xf numFmtId="0" fontId="16" fillId="0" borderId="0" xfId="4" applyFont="1" applyAlignment="1">
      <alignment horizontal="left" vertical="top"/>
    </xf>
    <xf numFmtId="0" fontId="19" fillId="0" borderId="0" xfId="4" applyFont="1" applyAlignment="1">
      <alignment vertical="top"/>
    </xf>
    <xf numFmtId="0" fontId="15" fillId="0" borderId="10" xfId="4" applyFont="1" applyBorder="1"/>
    <xf numFmtId="0" fontId="20" fillId="0" borderId="0" xfId="4" applyFont="1"/>
    <xf numFmtId="0" fontId="14" fillId="0" borderId="3" xfId="4" applyFont="1" applyBorder="1" applyAlignment="1" applyProtection="1">
      <alignment horizontal="center"/>
      <protection locked="0"/>
    </xf>
    <xf numFmtId="0" fontId="14" fillId="0" borderId="4" xfId="4" applyFont="1" applyBorder="1" applyAlignment="1" applyProtection="1">
      <alignment horizontal="center"/>
      <protection locked="0"/>
    </xf>
    <xf numFmtId="0" fontId="14" fillId="0" borderId="5" xfId="4" applyFont="1" applyBorder="1" applyAlignment="1" applyProtection="1">
      <alignment horizontal="center"/>
      <protection locked="0"/>
    </xf>
    <xf numFmtId="0" fontId="21" fillId="0" borderId="0" xfId="4" applyFont="1"/>
    <xf numFmtId="0" fontId="16" fillId="0" borderId="3" xfId="4" applyFont="1" applyBorder="1" applyAlignment="1" applyProtection="1">
      <alignment horizontal="center"/>
      <protection locked="0"/>
    </xf>
    <xf numFmtId="0" fontId="16" fillId="0" borderId="4" xfId="4" applyFont="1" applyBorder="1" applyAlignment="1" applyProtection="1">
      <alignment horizontal="center"/>
      <protection locked="0"/>
    </xf>
    <xf numFmtId="0" fontId="16" fillId="0" borderId="5" xfId="4" applyFont="1" applyBorder="1" applyAlignment="1" applyProtection="1">
      <alignment horizontal="center"/>
      <protection locked="0"/>
    </xf>
    <xf numFmtId="0" fontId="15" fillId="0" borderId="0" xfId="4" quotePrefix="1" applyFont="1"/>
    <xf numFmtId="0" fontId="15" fillId="0" borderId="0" xfId="4" applyFont="1" applyAlignment="1">
      <alignment horizontal="center"/>
    </xf>
    <xf numFmtId="0" fontId="15" fillId="0" borderId="0" xfId="4" applyFont="1" applyAlignment="1">
      <alignment horizontal="left" vertical="top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vertical="top"/>
    </xf>
    <xf numFmtId="0" fontId="23" fillId="0" borderId="3" xfId="4" applyFont="1" applyBorder="1" applyAlignment="1" applyProtection="1">
      <alignment horizontal="center" wrapText="1"/>
      <protection locked="0"/>
    </xf>
    <xf numFmtId="0" fontId="23" fillId="0" borderId="4" xfId="4" applyFont="1" applyBorder="1" applyAlignment="1" applyProtection="1">
      <alignment horizontal="center" wrapText="1"/>
      <protection locked="0"/>
    </xf>
    <xf numFmtId="0" fontId="23" fillId="0" borderId="5" xfId="4" applyFont="1" applyBorder="1" applyAlignment="1" applyProtection="1">
      <alignment horizontal="center" wrapText="1"/>
      <protection locked="0"/>
    </xf>
    <xf numFmtId="0" fontId="16" fillId="0" borderId="0" xfId="4" applyFont="1" applyAlignment="1">
      <alignment horizontal="right"/>
    </xf>
    <xf numFmtId="0" fontId="20" fillId="0" borderId="0" xfId="4" applyFont="1" applyAlignment="1">
      <alignment horizontal="center"/>
    </xf>
    <xf numFmtId="0" fontId="18" fillId="0" borderId="0" xfId="4" applyFont="1" applyAlignment="1">
      <alignment horizontal="left" vertical="top" wrapText="1"/>
    </xf>
    <xf numFmtId="0" fontId="16" fillId="0" borderId="0" xfId="4" applyFont="1" applyAlignment="1">
      <alignment vertical="top" wrapText="1"/>
    </xf>
    <xf numFmtId="0" fontId="16" fillId="0" borderId="1" xfId="4" applyFont="1" applyBorder="1" applyAlignment="1" applyProtection="1">
      <alignment horizontal="center" vertical="center"/>
      <protection locked="0"/>
    </xf>
    <xf numFmtId="0" fontId="16" fillId="0" borderId="11" xfId="4" applyFont="1" applyBorder="1" applyAlignment="1">
      <alignment horizontal="left"/>
    </xf>
    <xf numFmtId="0" fontId="19" fillId="0" borderId="0" xfId="4" applyFont="1"/>
    <xf numFmtId="0" fontId="16" fillId="0" borderId="0" xfId="4" applyFont="1" applyAlignment="1">
      <alignment horizontal="left" wrapText="1"/>
    </xf>
    <xf numFmtId="0" fontId="18" fillId="0" borderId="0" xfId="4" applyFont="1" applyAlignment="1">
      <alignment horizontal="left" wrapText="1"/>
    </xf>
    <xf numFmtId="0" fontId="16" fillId="0" borderId="0" xfId="4" applyFont="1" applyAlignment="1">
      <alignment wrapText="1"/>
    </xf>
    <xf numFmtId="0" fontId="13" fillId="0" borderId="0" xfId="3" applyFont="1" applyAlignment="1">
      <alignment horizontal="left"/>
    </xf>
    <xf numFmtId="0" fontId="15" fillId="0" borderId="0" xfId="4" applyFont="1" applyAlignment="1">
      <alignment horizontal="left"/>
    </xf>
    <xf numFmtId="0" fontId="15" fillId="0" borderId="3" xfId="4" applyFont="1" applyBorder="1" applyAlignment="1" applyProtection="1">
      <alignment horizontal="left"/>
      <protection locked="0"/>
    </xf>
    <xf numFmtId="0" fontId="15" fillId="0" borderId="4" xfId="4" applyFont="1" applyBorder="1" applyAlignment="1" applyProtection="1">
      <alignment horizontal="left"/>
      <protection locked="0"/>
    </xf>
    <xf numFmtId="0" fontId="15" fillId="0" borderId="5" xfId="4" applyFont="1" applyBorder="1" applyAlignment="1" applyProtection="1">
      <alignment horizontal="left"/>
      <protection locked="0"/>
    </xf>
    <xf numFmtId="0" fontId="15" fillId="0" borderId="11" xfId="4" applyFont="1" applyBorder="1"/>
    <xf numFmtId="0" fontId="16" fillId="0" borderId="4" xfId="4" applyFont="1" applyBorder="1"/>
    <xf numFmtId="0" fontId="16" fillId="0" borderId="0" xfId="4" applyFont="1" applyAlignment="1">
      <alignment horizontal="left"/>
    </xf>
    <xf numFmtId="0" fontId="16" fillId="0" borderId="0" xfId="4" quotePrefix="1" applyFont="1"/>
    <xf numFmtId="0" fontId="16" fillId="0" borderId="1" xfId="4" applyFont="1" applyBorder="1" applyProtection="1">
      <protection locked="0"/>
    </xf>
    <xf numFmtId="0" fontId="15" fillId="0" borderId="3" xfId="4" applyFont="1" applyBorder="1" applyAlignment="1" applyProtection="1">
      <alignment horizontal="center"/>
      <protection locked="0"/>
    </xf>
    <xf numFmtId="0" fontId="15" fillId="0" borderId="4" xfId="4" applyFont="1" applyBorder="1" applyAlignment="1" applyProtection="1">
      <alignment horizontal="center"/>
      <protection locked="0"/>
    </xf>
    <xf numFmtId="0" fontId="15" fillId="0" borderId="5" xfId="4" applyFont="1" applyBorder="1" applyAlignment="1" applyProtection="1">
      <alignment horizontal="center"/>
      <protection locked="0"/>
    </xf>
    <xf numFmtId="0" fontId="25" fillId="0" borderId="0" xfId="4" applyFont="1"/>
    <xf numFmtId="0" fontId="15" fillId="0" borderId="3" xfId="4" applyFont="1" applyBorder="1" applyAlignment="1" applyProtection="1">
      <alignment horizontal="center"/>
      <protection locked="0"/>
    </xf>
    <xf numFmtId="0" fontId="15" fillId="0" borderId="4" xfId="4" applyFont="1" applyBorder="1" applyAlignment="1" applyProtection="1">
      <alignment horizontal="center"/>
      <protection locked="0"/>
    </xf>
    <xf numFmtId="0" fontId="15" fillId="0" borderId="5" xfId="4" applyFont="1" applyBorder="1" applyAlignment="1" applyProtection="1">
      <alignment horizontal="center"/>
      <protection locked="0"/>
    </xf>
    <xf numFmtId="0" fontId="15" fillId="0" borderId="1" xfId="4" applyFont="1" applyBorder="1" applyProtection="1">
      <protection locked="0"/>
    </xf>
    <xf numFmtId="0" fontId="15" fillId="0" borderId="0" xfId="4" applyFont="1" applyAlignment="1">
      <alignment horizontal="right"/>
    </xf>
    <xf numFmtId="0" fontId="25" fillId="0" borderId="0" xfId="4" applyFont="1" applyAlignment="1">
      <alignment horizontal="center"/>
    </xf>
    <xf numFmtId="0" fontId="25" fillId="0" borderId="0" xfId="4" applyFont="1" applyAlignment="1">
      <alignment horizontal="center"/>
    </xf>
    <xf numFmtId="0" fontId="5" fillId="0" borderId="0" xfId="2"/>
    <xf numFmtId="0" fontId="6" fillId="0" borderId="0" xfId="1" applyFont="1"/>
    <xf numFmtId="0" fontId="6" fillId="0" borderId="0" xfId="1" applyFont="1" applyAlignment="1">
      <alignment horizontal="left" vertical="top" wrapText="1"/>
    </xf>
    <xf numFmtId="0" fontId="26" fillId="0" borderId="0" xfId="1" applyFont="1" applyAlignment="1">
      <alignment horizontal="center" vertical="top"/>
    </xf>
    <xf numFmtId="0" fontId="6" fillId="0" borderId="10" xfId="1" applyFont="1" applyBorder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6" fillId="0" borderId="3" xfId="1" applyFont="1" applyBorder="1" applyAlignment="1" applyProtection="1">
      <alignment horizontal="center" shrinkToFit="1"/>
      <protection locked="0"/>
    </xf>
    <xf numFmtId="0" fontId="6" fillId="0" borderId="4" xfId="1" applyFont="1" applyBorder="1" applyAlignment="1" applyProtection="1">
      <alignment horizontal="center" shrinkToFit="1"/>
      <protection locked="0"/>
    </xf>
    <xf numFmtId="0" fontId="6" fillId="0" borderId="5" xfId="1" applyFont="1" applyBorder="1" applyAlignment="1" applyProtection="1">
      <alignment horizontal="center" shrinkToFit="1"/>
      <protection locked="0"/>
    </xf>
    <xf numFmtId="0" fontId="6" fillId="0" borderId="0" xfId="1" quotePrefix="1" applyFont="1"/>
    <xf numFmtId="0" fontId="6" fillId="0" borderId="0" xfId="1" applyFont="1" applyAlignment="1">
      <alignment horizontal="left"/>
    </xf>
    <xf numFmtId="0" fontId="6" fillId="0" borderId="11" xfId="1" applyFont="1" applyBorder="1" applyAlignment="1">
      <alignment horizontal="left"/>
    </xf>
    <xf numFmtId="0" fontId="6" fillId="0" borderId="0" xfId="1" applyFont="1" applyAlignment="1">
      <alignment shrinkToFit="1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center" vertical="top"/>
    </xf>
    <xf numFmtId="0" fontId="31" fillId="0" borderId="0" xfId="1" applyFont="1"/>
    <xf numFmtId="0" fontId="31" fillId="0" borderId="0" xfId="1" applyFont="1" applyAlignment="1">
      <alignment shrinkToFit="1"/>
    </xf>
    <xf numFmtId="0" fontId="6" fillId="0" borderId="1" xfId="1" applyFont="1" applyBorder="1" applyAlignment="1" applyProtection="1">
      <alignment horizontal="center" shrinkToFit="1"/>
      <protection locked="0"/>
    </xf>
    <xf numFmtId="0" fontId="6" fillId="0" borderId="0" xfId="1" quotePrefix="1" applyFont="1" applyAlignment="1">
      <alignment horizontal="center"/>
    </xf>
    <xf numFmtId="0" fontId="32" fillId="0" borderId="0" xfId="1" applyFont="1" applyAlignment="1">
      <alignment shrinkToFit="1"/>
    </xf>
    <xf numFmtId="0" fontId="32" fillId="0" borderId="0" xfId="1" applyFont="1"/>
    <xf numFmtId="0" fontId="6" fillId="0" borderId="3" xfId="1" applyFont="1" applyBorder="1" applyAlignment="1" applyProtection="1">
      <alignment horizontal="left" vertical="top" shrinkToFit="1"/>
      <protection locked="0"/>
    </xf>
    <xf numFmtId="0" fontId="6" fillId="0" borderId="4" xfId="1" applyFont="1" applyBorder="1" applyAlignment="1" applyProtection="1">
      <alignment horizontal="left" vertical="top" shrinkToFit="1"/>
      <protection locked="0"/>
    </xf>
    <xf numFmtId="0" fontId="6" fillId="0" borderId="5" xfId="1" applyFont="1" applyBorder="1" applyAlignment="1" applyProtection="1">
      <alignment horizontal="left" vertical="top" shrinkToFit="1"/>
      <protection locked="0"/>
    </xf>
    <xf numFmtId="0" fontId="6" fillId="0" borderId="4" xfId="1" applyFont="1" applyBorder="1" applyAlignment="1">
      <alignment horizontal="center"/>
    </xf>
    <xf numFmtId="0" fontId="2" fillId="0" borderId="12" xfId="1" applyFont="1" applyBorder="1"/>
    <xf numFmtId="0" fontId="2" fillId="0" borderId="9" xfId="1" applyFont="1" applyBorder="1"/>
    <xf numFmtId="0" fontId="33" fillId="0" borderId="0" xfId="1" applyFont="1"/>
    <xf numFmtId="0" fontId="2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7" fillId="0" borderId="0" xfId="4" applyFont="1"/>
    <xf numFmtId="0" fontId="2" fillId="0" borderId="0" xfId="4" applyFont="1" applyAlignment="1">
      <alignment horizontal="left"/>
    </xf>
    <xf numFmtId="0" fontId="2" fillId="0" borderId="0" xfId="4" applyFont="1" applyAlignment="1">
      <alignment horizontal="left" vertical="top"/>
    </xf>
    <xf numFmtId="0" fontId="1" fillId="0" borderId="0" xfId="4"/>
    <xf numFmtId="0" fontId="1" fillId="0" borderId="3" xfId="1" applyBorder="1" applyProtection="1">
      <protection locked="0"/>
    </xf>
    <xf numFmtId="0" fontId="1" fillId="0" borderId="4" xfId="1" applyBorder="1" applyProtection="1">
      <protection locked="0"/>
    </xf>
    <xf numFmtId="0" fontId="2" fillId="0" borderId="1" xfId="4" applyFont="1" applyBorder="1" applyAlignment="1" applyProtection="1">
      <alignment horizontal="center" vertical="top"/>
      <protection locked="0"/>
    </xf>
    <xf numFmtId="0" fontId="7" fillId="0" borderId="0" xfId="4" applyFont="1" applyAlignment="1">
      <alignment vertical="top"/>
    </xf>
    <xf numFmtId="0" fontId="7" fillId="0" borderId="0" xfId="4" quotePrefix="1" applyFont="1" applyAlignment="1">
      <alignment vertical="top"/>
    </xf>
    <xf numFmtId="0" fontId="7" fillId="0" borderId="0" xfId="4" applyFont="1" applyAlignment="1">
      <alignment horizontal="center" vertical="top"/>
    </xf>
    <xf numFmtId="0" fontId="2" fillId="0" borderId="0" xfId="4" applyFont="1"/>
    <xf numFmtId="0" fontId="1" fillId="0" borderId="13" xfId="1" applyBorder="1" applyProtection="1">
      <protection locked="0"/>
    </xf>
    <xf numFmtId="0" fontId="31" fillId="0" borderId="14" xfId="4" applyFont="1" applyBorder="1" applyAlignment="1" applyProtection="1">
      <alignment vertical="top" wrapText="1"/>
      <protection locked="0"/>
    </xf>
    <xf numFmtId="0" fontId="7" fillId="0" borderId="0" xfId="4" applyFont="1" applyAlignment="1">
      <alignment vertical="top" wrapText="1"/>
    </xf>
    <xf numFmtId="0" fontId="2" fillId="0" borderId="14" xfId="4" applyFont="1" applyBorder="1" applyAlignment="1" applyProtection="1">
      <alignment horizontal="center"/>
      <protection locked="0"/>
    </xf>
    <xf numFmtId="0" fontId="7" fillId="0" borderId="0" xfId="4" applyFont="1"/>
    <xf numFmtId="0" fontId="7" fillId="0" borderId="0" xfId="4" applyFont="1" applyAlignment="1">
      <alignment horizontal="center"/>
    </xf>
    <xf numFmtId="0" fontId="7" fillId="0" borderId="0" xfId="4" applyFont="1" applyAlignment="1">
      <alignment horizontal="center"/>
    </xf>
    <xf numFmtId="0" fontId="34" fillId="0" borderId="13" xfId="1" applyFont="1" applyBorder="1" applyProtection="1">
      <protection locked="0"/>
    </xf>
    <xf numFmtId="0" fontId="34" fillId="0" borderId="4" xfId="1" applyFont="1" applyBorder="1" applyProtection="1">
      <protection locked="0"/>
    </xf>
    <xf numFmtId="0" fontId="32" fillId="0" borderId="14" xfId="4" applyFont="1" applyBorder="1" applyAlignment="1" applyProtection="1">
      <alignment vertical="top" wrapText="1"/>
      <protection locked="0"/>
    </xf>
    <xf numFmtId="0" fontId="6" fillId="0" borderId="14" xfId="4" applyFont="1" applyBorder="1" applyAlignment="1" applyProtection="1">
      <alignment horizontal="center"/>
      <protection locked="0"/>
    </xf>
    <xf numFmtId="0" fontId="31" fillId="0" borderId="1" xfId="4" applyFont="1" applyBorder="1" applyAlignment="1" applyProtection="1">
      <alignment horizontal="center"/>
      <protection locked="0"/>
    </xf>
    <xf numFmtId="0" fontId="7" fillId="0" borderId="1" xfId="4" applyFont="1" applyBorder="1" applyAlignment="1" applyProtection="1">
      <alignment horizontal="center"/>
      <protection locked="0"/>
    </xf>
    <xf numFmtId="0" fontId="2" fillId="0" borderId="1" xfId="4" applyFont="1" applyBorder="1" applyAlignment="1" applyProtection="1">
      <alignment horizontal="center"/>
      <protection locked="0"/>
    </xf>
    <xf numFmtId="0" fontId="2" fillId="0" borderId="1" xfId="4" applyFont="1" applyBorder="1" applyAlignment="1" applyProtection="1">
      <alignment horizontal="left" vertical="top" wrapText="1"/>
      <protection locked="0"/>
    </xf>
    <xf numFmtId="0" fontId="1" fillId="0" borderId="9" xfId="1" applyBorder="1"/>
    <xf numFmtId="0" fontId="35" fillId="0" borderId="9" xfId="4" applyFont="1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7" fillId="0" borderId="1" xfId="4" applyFont="1" applyBorder="1"/>
    <xf numFmtId="0" fontId="7" fillId="0" borderId="1" xfId="4" applyFont="1" applyBorder="1" applyAlignment="1" applyProtection="1">
      <alignment horizontal="center" vertical="top"/>
      <protection locked="0"/>
    </xf>
    <xf numFmtId="0" fontId="1" fillId="0" borderId="0" xfId="4" applyAlignment="1">
      <alignment vertical="center"/>
    </xf>
    <xf numFmtId="0" fontId="2" fillId="0" borderId="0" xfId="4" applyFont="1" applyAlignment="1">
      <alignment vertical="center"/>
    </xf>
    <xf numFmtId="0" fontId="31" fillId="0" borderId="0" xfId="4" applyFont="1" applyAlignment="1">
      <alignment vertical="top"/>
    </xf>
    <xf numFmtId="0" fontId="31" fillId="0" borderId="1" xfId="4" applyFont="1" applyBorder="1" applyAlignment="1" applyProtection="1">
      <alignment horizontal="left" vertical="top" wrapText="1"/>
      <protection locked="0"/>
    </xf>
    <xf numFmtId="0" fontId="35" fillId="0" borderId="0" xfId="4" applyFont="1" applyAlignment="1">
      <alignment horizontal="center" vertical="center" wrapText="1"/>
    </xf>
    <xf numFmtId="0" fontId="7" fillId="0" borderId="0" xfId="4" applyFont="1" applyAlignment="1">
      <alignment vertical="center"/>
    </xf>
    <xf numFmtId="0" fontId="35" fillId="0" borderId="0" xfId="4" applyFont="1" applyAlignment="1">
      <alignment horizontal="center" vertical="center"/>
    </xf>
    <xf numFmtId="0" fontId="11" fillId="0" borderId="0" xfId="4" applyFont="1"/>
    <xf numFmtId="0" fontId="1" fillId="0" borderId="15" xfId="1" applyBorder="1" applyProtection="1">
      <protection locked="0"/>
    </xf>
    <xf numFmtId="0" fontId="1" fillId="0" borderId="10" xfId="1" applyBorder="1" applyProtection="1">
      <protection locked="0"/>
    </xf>
    <xf numFmtId="0" fontId="1" fillId="0" borderId="16" xfId="1" applyBorder="1" applyProtection="1">
      <protection locked="0"/>
    </xf>
    <xf numFmtId="0" fontId="34" fillId="2" borderId="15" xfId="1" applyFont="1" applyFill="1" applyBorder="1" applyProtection="1">
      <protection locked="0"/>
    </xf>
    <xf numFmtId="0" fontId="34" fillId="2" borderId="10" xfId="1" applyFont="1" applyFill="1" applyBorder="1" applyProtection="1">
      <protection locked="0"/>
    </xf>
    <xf numFmtId="0" fontId="34" fillId="2" borderId="16" xfId="1" applyFont="1" applyFill="1" applyBorder="1" applyProtection="1">
      <protection locked="0"/>
    </xf>
    <xf numFmtId="0" fontId="1" fillId="0" borderId="17" xfId="1" applyBorder="1" applyProtection="1">
      <protection locked="0"/>
    </xf>
    <xf numFmtId="0" fontId="1" fillId="0" borderId="7" xfId="1" applyBorder="1" applyProtection="1">
      <protection locked="0"/>
    </xf>
    <xf numFmtId="0" fontId="7" fillId="0" borderId="18" xfId="4" applyFont="1" applyBorder="1" applyAlignment="1" applyProtection="1">
      <alignment horizontal="left" vertical="top" wrapText="1"/>
      <protection locked="0"/>
    </xf>
    <xf numFmtId="0" fontId="34" fillId="2" borderId="17" xfId="1" applyFont="1" applyFill="1" applyBorder="1" applyProtection="1">
      <protection locked="0"/>
    </xf>
    <xf numFmtId="0" fontId="34" fillId="2" borderId="7" xfId="1" applyFont="1" applyFill="1" applyBorder="1" applyProtection="1">
      <protection locked="0"/>
    </xf>
    <xf numFmtId="0" fontId="37" fillId="2" borderId="18" xfId="4" applyFont="1" applyFill="1" applyBorder="1" applyAlignment="1" applyProtection="1">
      <alignment horizontal="left" vertical="top" wrapText="1"/>
      <protection locked="0"/>
    </xf>
    <xf numFmtId="0" fontId="1" fillId="0" borderId="19" xfId="1" applyBorder="1" applyProtection="1">
      <protection locked="0"/>
    </xf>
    <xf numFmtId="0" fontId="7" fillId="0" borderId="20" xfId="4" applyFont="1" applyBorder="1" applyAlignment="1" applyProtection="1">
      <alignment horizontal="left" vertical="top" wrapText="1"/>
      <protection locked="0"/>
    </xf>
    <xf numFmtId="17" fontId="7" fillId="0" borderId="0" xfId="4" applyNumberFormat="1" applyFont="1"/>
    <xf numFmtId="17" fontId="31" fillId="0" borderId="0" xfId="4" applyNumberFormat="1" applyFont="1" applyAlignment="1">
      <alignment horizontal="right"/>
    </xf>
    <xf numFmtId="0" fontId="31" fillId="0" borderId="0" xfId="4" applyFont="1" applyAlignment="1">
      <alignment horizontal="right"/>
    </xf>
    <xf numFmtId="0" fontId="11" fillId="0" borderId="0" xfId="4" applyFont="1" applyAlignment="1">
      <alignment horizontal="center" vertical="center" wrapText="1"/>
    </xf>
    <xf numFmtId="0" fontId="2" fillId="0" borderId="5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6" fillId="0" borderId="0" xfId="0" applyFont="1" applyAlignment="1">
      <alignment horizontal="left" vertical="top" wrapText="1"/>
    </xf>
  </cellXfs>
  <cellStyles count="5">
    <cellStyle name="Normal" xfId="0" builtinId="0"/>
    <cellStyle name="Normal 2" xfId="1" xr:uid="{AB449647-E53A-F248-93AA-26D299A87600}"/>
    <cellStyle name="Normal 2 4" xfId="3" xr:uid="{5DAAD076-F1EE-394A-829E-161A87587A37}"/>
    <cellStyle name="Normal 3" xfId="2" xr:uid="{AF6CCB2C-FBB1-7E48-8DBA-CC98E5ECDF41}"/>
    <cellStyle name="Normal 3 2 2" xfId="4" xr:uid="{B404A9E7-3B46-9E49-B695-583144D3CF3D}"/>
  </cellStyles>
  <dxfs count="114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4F1E-05FC-BB4B-96AC-0093B8CCBF81}">
  <dimension ref="A1:AC59"/>
  <sheetViews>
    <sheetView view="pageBreakPreview" zoomScale="150" zoomScaleNormal="100" zoomScaleSheetLayoutView="100" workbookViewId="0">
      <selection activeCell="AE38" sqref="AE38"/>
    </sheetView>
  </sheetViews>
  <sheetFormatPr baseColWidth="10" defaultColWidth="12.6640625" defaultRowHeight="14" x14ac:dyDescent="0.25"/>
  <cols>
    <col min="1" max="1" width="3.5" style="37" customWidth="1"/>
    <col min="2" max="2" width="6" style="37" customWidth="1"/>
    <col min="3" max="3" width="17.5" style="37" customWidth="1"/>
    <col min="4" max="4" width="12.6640625" style="37"/>
    <col min="5" max="5" width="19.5" style="37" customWidth="1"/>
    <col min="6" max="6" width="4.33203125" style="37" customWidth="1"/>
    <col min="7" max="7" width="4.1640625" style="37" customWidth="1"/>
    <col min="8" max="8" width="1.6640625" style="37" customWidth="1"/>
    <col min="9" max="9" width="11.5" style="37" customWidth="1"/>
    <col min="10" max="10" width="4.1640625" style="37" customWidth="1"/>
    <col min="11" max="11" width="11" style="37" customWidth="1"/>
    <col min="12" max="12" width="2.6640625" style="37" customWidth="1"/>
    <col min="13" max="13" width="3.5" style="37" customWidth="1"/>
    <col min="14" max="14" width="15.1640625" style="37" customWidth="1"/>
    <col min="15" max="15" width="6" style="37" customWidth="1"/>
    <col min="16" max="16" width="12.6640625" style="37"/>
    <col min="17" max="17" width="20.1640625" style="37" hidden="1" customWidth="1"/>
    <col min="18" max="18" width="15.1640625" style="37" hidden="1" customWidth="1"/>
    <col min="19" max="21" width="13.6640625" style="37" hidden="1" customWidth="1"/>
    <col min="22" max="22" width="0" style="37" hidden="1" customWidth="1"/>
    <col min="23" max="23" width="34.1640625" style="37" hidden="1" customWidth="1"/>
    <col min="24" max="24" width="19.5" style="37" hidden="1" customWidth="1"/>
    <col min="25" max="25" width="15.33203125" style="37" hidden="1" customWidth="1"/>
    <col min="26" max="26" width="20.1640625" style="37" hidden="1" customWidth="1"/>
    <col min="27" max="16384" width="12.6640625" style="37"/>
  </cols>
  <sheetData>
    <row r="1" spans="1:24" ht="14.5" customHeight="1" x14ac:dyDescent="0.25">
      <c r="A1" s="96" t="s">
        <v>135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39"/>
      <c r="Q1" s="39"/>
      <c r="R1" s="39"/>
      <c r="S1" s="39"/>
      <c r="T1" s="39"/>
      <c r="U1" s="39"/>
      <c r="V1" s="39"/>
      <c r="W1" s="39"/>
      <c r="X1" s="39"/>
    </row>
    <row r="2" spans="1:24" ht="14.5" customHeigh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4" t="s">
        <v>134</v>
      </c>
      <c r="O2" s="94"/>
      <c r="P2" s="39"/>
      <c r="Q2" s="39"/>
      <c r="R2" s="39"/>
      <c r="S2" s="39"/>
      <c r="T2" s="39"/>
      <c r="U2" s="39"/>
      <c r="V2" s="39"/>
      <c r="W2" s="39"/>
      <c r="X2" s="39"/>
    </row>
    <row r="3" spans="1:24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94" t="s">
        <v>133</v>
      </c>
      <c r="O3" s="94"/>
      <c r="P3" s="39"/>
      <c r="Q3" s="39"/>
      <c r="R3" s="39"/>
      <c r="S3" s="39"/>
      <c r="T3" s="50"/>
      <c r="U3" s="50" t="s">
        <v>132</v>
      </c>
      <c r="V3" s="50"/>
      <c r="W3" s="50"/>
      <c r="X3" s="50"/>
    </row>
    <row r="4" spans="1:24" ht="15" customHeight="1" thickBot="1" x14ac:dyDescent="0.3">
      <c r="A4" s="89" t="s">
        <v>61</v>
      </c>
      <c r="B4" s="39"/>
      <c r="C4" s="39"/>
      <c r="D4" s="39"/>
      <c r="E4" s="39"/>
      <c r="F4" s="89"/>
      <c r="G4" s="89"/>
      <c r="H4" s="39"/>
      <c r="I4" s="39"/>
      <c r="J4" s="39"/>
      <c r="K4" s="39"/>
      <c r="L4" s="39"/>
      <c r="M4" s="39"/>
      <c r="N4" s="39"/>
      <c r="O4" s="39"/>
      <c r="P4" s="39"/>
      <c r="Q4" s="72" t="s">
        <v>131</v>
      </c>
      <c r="R4" s="39"/>
      <c r="S4" s="39"/>
      <c r="T4" s="50">
        <v>1</v>
      </c>
      <c r="U4" s="50" t="s">
        <v>130</v>
      </c>
      <c r="V4" s="50"/>
      <c r="W4" s="50"/>
      <c r="X4" s="50"/>
    </row>
    <row r="5" spans="1:24" ht="15" customHeight="1" thickBot="1" x14ac:dyDescent="0.3">
      <c r="A5" s="89" t="s">
        <v>60</v>
      </c>
      <c r="B5" s="39"/>
      <c r="C5" s="39"/>
      <c r="D5" s="39"/>
      <c r="E5" s="93" t="s">
        <v>129</v>
      </c>
      <c r="F5" s="89"/>
      <c r="G5" s="89" t="s">
        <v>58</v>
      </c>
      <c r="H5" s="39"/>
      <c r="I5" s="39"/>
      <c r="J5" s="39"/>
      <c r="K5" s="92" t="s">
        <v>57</v>
      </c>
      <c r="L5" s="91"/>
      <c r="M5" s="91"/>
      <c r="N5" s="91"/>
      <c r="O5" s="90"/>
      <c r="P5" s="39"/>
      <c r="Q5" s="72" t="s">
        <v>128</v>
      </c>
      <c r="R5" s="39"/>
      <c r="S5" s="39"/>
      <c r="T5" s="50"/>
      <c r="U5" s="50">
        <v>1.1000000000000001</v>
      </c>
      <c r="V5" s="50" t="s">
        <v>127</v>
      </c>
      <c r="W5" s="50" t="s">
        <v>123</v>
      </c>
      <c r="X5" s="50"/>
    </row>
    <row r="6" spans="1:24" ht="15" customHeight="1" thickBot="1" x14ac:dyDescent="0.3">
      <c r="A6" s="89" t="s">
        <v>56</v>
      </c>
      <c r="B6" s="39"/>
      <c r="C6" s="22" t="s">
        <v>225</v>
      </c>
      <c r="D6" s="20"/>
      <c r="E6" s="39"/>
      <c r="F6" s="89"/>
      <c r="G6" s="89" t="s">
        <v>54</v>
      </c>
      <c r="H6" s="39"/>
      <c r="I6" s="39"/>
      <c r="J6" s="88" t="s">
        <v>126</v>
      </c>
      <c r="K6" s="87"/>
      <c r="L6" s="87"/>
      <c r="M6" s="87"/>
      <c r="N6" s="87"/>
      <c r="O6" s="86"/>
      <c r="P6" s="39"/>
      <c r="Q6" s="39"/>
      <c r="R6" s="39"/>
      <c r="S6" s="39"/>
      <c r="T6" s="50"/>
      <c r="U6" s="50"/>
      <c r="V6" s="50"/>
      <c r="W6" s="50" t="s">
        <v>122</v>
      </c>
      <c r="X6" s="50"/>
    </row>
    <row r="7" spans="1:24" ht="14.5" customHeight="1" x14ac:dyDescent="0.25">
      <c r="A7" s="39"/>
      <c r="B7" s="39"/>
      <c r="C7" s="39"/>
      <c r="D7" s="39"/>
      <c r="E7" s="39"/>
      <c r="F7" s="8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0"/>
      <c r="U7" s="50">
        <v>1.2</v>
      </c>
      <c r="V7" s="50" t="s">
        <v>125</v>
      </c>
      <c r="W7" s="50"/>
      <c r="X7" s="50"/>
    </row>
    <row r="8" spans="1:24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50"/>
      <c r="U8" s="50"/>
      <c r="V8" s="50"/>
      <c r="W8" s="50" t="s">
        <v>124</v>
      </c>
      <c r="X8" s="50" t="s">
        <v>123</v>
      </c>
    </row>
    <row r="9" spans="1:24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50"/>
      <c r="U9" s="50"/>
      <c r="V9" s="50"/>
      <c r="W9" s="50"/>
      <c r="X9" s="50" t="s">
        <v>122</v>
      </c>
    </row>
    <row r="10" spans="1:24" ht="15" thickBot="1" x14ac:dyDescent="0.3">
      <c r="A10" s="39" t="s">
        <v>52</v>
      </c>
      <c r="B10" s="39" t="s">
        <v>51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50"/>
      <c r="U10" s="50"/>
      <c r="V10" s="50"/>
      <c r="W10" s="50" t="s">
        <v>121</v>
      </c>
      <c r="X10" s="50" t="s">
        <v>120</v>
      </c>
    </row>
    <row r="11" spans="1:24" ht="15" customHeight="1" thickBot="1" x14ac:dyDescent="0.3">
      <c r="A11" s="39"/>
      <c r="B11" s="58"/>
      <c r="C11" s="58" t="s">
        <v>49</v>
      </c>
      <c r="D11" s="39"/>
      <c r="E11" s="39"/>
      <c r="F11" s="39"/>
      <c r="G11" s="88" t="s">
        <v>119</v>
      </c>
      <c r="H11" s="87"/>
      <c r="I11" s="87"/>
      <c r="J11" s="87"/>
      <c r="K11" s="87"/>
      <c r="L11" s="87"/>
      <c r="M11" s="87"/>
      <c r="N11" s="87"/>
      <c r="O11" s="86"/>
      <c r="P11" s="39"/>
      <c r="Q11" s="39"/>
      <c r="R11" s="39"/>
      <c r="S11" s="39"/>
      <c r="T11" s="50"/>
      <c r="U11" s="50"/>
      <c r="V11" s="50"/>
      <c r="W11" s="50"/>
      <c r="X11" s="50"/>
    </row>
    <row r="12" spans="1:24" ht="15" thickBot="1" x14ac:dyDescent="0.3">
      <c r="A12" s="39"/>
      <c r="B12" s="58"/>
      <c r="C12" s="58" t="s">
        <v>47</v>
      </c>
      <c r="D12" s="39"/>
      <c r="E12" s="39"/>
      <c r="F12" s="39"/>
      <c r="G12" s="88" t="s">
        <v>118</v>
      </c>
      <c r="H12" s="87"/>
      <c r="I12" s="87"/>
      <c r="J12" s="87"/>
      <c r="K12" s="87"/>
      <c r="L12" s="87"/>
      <c r="M12" s="87"/>
      <c r="N12" s="87"/>
      <c r="O12" s="86"/>
      <c r="P12" s="39"/>
      <c r="Q12" s="39"/>
      <c r="R12" s="39"/>
      <c r="S12" s="39"/>
      <c r="T12" s="50">
        <v>2</v>
      </c>
      <c r="U12" s="50" t="s">
        <v>117</v>
      </c>
      <c r="V12" s="50"/>
      <c r="W12" s="50"/>
      <c r="X12" s="50"/>
    </row>
    <row r="13" spans="1:24" ht="15" thickBot="1" x14ac:dyDescent="0.3">
      <c r="A13" s="39"/>
      <c r="B13" s="5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72" t="s">
        <v>116</v>
      </c>
      <c r="R13" s="39"/>
      <c r="S13" s="39"/>
      <c r="T13" s="50"/>
      <c r="U13" s="50">
        <v>2.1</v>
      </c>
      <c r="V13" s="50" t="s">
        <v>115</v>
      </c>
      <c r="W13" s="50"/>
      <c r="X13" s="50"/>
    </row>
    <row r="14" spans="1:24" ht="16" thickBot="1" x14ac:dyDescent="0.3">
      <c r="A14" s="39" t="s">
        <v>45</v>
      </c>
      <c r="B14" s="44" t="s">
        <v>114</v>
      </c>
      <c r="C14" s="44"/>
      <c r="D14" s="44"/>
      <c r="E14" s="39"/>
      <c r="F14" s="39"/>
      <c r="G14" s="88" t="s">
        <v>113</v>
      </c>
      <c r="H14" s="87"/>
      <c r="I14" s="87"/>
      <c r="J14" s="87"/>
      <c r="K14" s="87"/>
      <c r="L14" s="87"/>
      <c r="M14" s="87"/>
      <c r="N14" s="87"/>
      <c r="O14" s="86"/>
      <c r="P14" s="39"/>
      <c r="Q14" s="72" t="s">
        <v>112</v>
      </c>
      <c r="R14" s="39"/>
      <c r="S14" s="39"/>
      <c r="T14" s="50"/>
      <c r="U14" s="50"/>
      <c r="V14" s="50"/>
      <c r="W14" s="50" t="s">
        <v>111</v>
      </c>
      <c r="X14" s="50" t="e">
        <f>VLOOKUP(#REF!,$V$27:$Z$27,4,FALSE)</f>
        <v>#REF!</v>
      </c>
    </row>
    <row r="15" spans="1:24" ht="16" thickBot="1" x14ac:dyDescent="0.3">
      <c r="A15" s="44" t="s">
        <v>42</v>
      </c>
      <c r="B15" s="44" t="s">
        <v>110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39"/>
      <c r="Q15" s="72" t="s">
        <v>109</v>
      </c>
      <c r="R15" s="39"/>
      <c r="S15" s="39"/>
      <c r="T15" s="39"/>
      <c r="U15" s="39"/>
      <c r="V15" s="39"/>
      <c r="W15" s="39"/>
      <c r="X15" s="39"/>
    </row>
    <row r="16" spans="1:24" ht="15" thickBot="1" x14ac:dyDescent="0.3">
      <c r="A16" s="44"/>
      <c r="B16" s="84" t="s">
        <v>108</v>
      </c>
      <c r="C16" s="39"/>
      <c r="D16" s="44"/>
      <c r="E16" s="44"/>
      <c r="F16" s="44"/>
      <c r="G16" s="83" t="s">
        <v>17</v>
      </c>
      <c r="H16" s="44"/>
      <c r="I16" s="85">
        <v>30</v>
      </c>
      <c r="J16" s="44" t="s">
        <v>107</v>
      </c>
      <c r="K16" s="44"/>
      <c r="L16" s="66" t="s">
        <v>16</v>
      </c>
      <c r="M16" s="66"/>
      <c r="N16" s="85">
        <v>35</v>
      </c>
      <c r="O16" s="44" t="s">
        <v>107</v>
      </c>
      <c r="P16" s="39"/>
      <c r="Q16" s="72" t="s">
        <v>106</v>
      </c>
      <c r="R16" s="39"/>
      <c r="S16" s="39"/>
      <c r="T16" s="39"/>
      <c r="U16" s="39"/>
      <c r="V16" s="39"/>
      <c r="W16" s="39"/>
      <c r="X16" s="39"/>
    </row>
    <row r="17" spans="1:29" ht="9" customHeight="1" thickBot="1" x14ac:dyDescent="0.3">
      <c r="A17" s="44"/>
      <c r="B17" s="44"/>
      <c r="C17" s="84"/>
      <c r="D17" s="44"/>
      <c r="E17" s="44"/>
      <c r="F17" s="44"/>
      <c r="G17" s="83"/>
      <c r="H17" s="44"/>
      <c r="I17" s="82"/>
      <c r="J17" s="44"/>
      <c r="K17" s="44"/>
      <c r="L17" s="66"/>
      <c r="M17" s="66"/>
      <c r="N17" s="82"/>
      <c r="O17" s="44"/>
      <c r="P17" s="39"/>
      <c r="Q17" s="72"/>
      <c r="R17" s="39"/>
      <c r="S17" s="39"/>
      <c r="T17" s="39"/>
      <c r="U17" s="39"/>
      <c r="V17" s="39"/>
      <c r="W17" s="39"/>
      <c r="X17" s="39"/>
      <c r="Y17" s="39"/>
      <c r="Z17" s="39"/>
    </row>
    <row r="18" spans="1:29" ht="15" customHeight="1" thickBot="1" x14ac:dyDescent="0.3">
      <c r="A18" s="44" t="s">
        <v>40</v>
      </c>
      <c r="B18" s="39" t="s">
        <v>41</v>
      </c>
      <c r="C18" s="39"/>
      <c r="D18" s="39"/>
      <c r="E18" s="39"/>
      <c r="F18" s="81"/>
      <c r="G18" s="80" t="s">
        <v>71</v>
      </c>
      <c r="H18" s="79"/>
      <c r="I18" s="79"/>
      <c r="J18" s="79"/>
      <c r="K18" s="79"/>
      <c r="L18" s="79"/>
      <c r="M18" s="79"/>
      <c r="N18" s="78"/>
      <c r="O18" s="38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9" ht="15" customHeight="1" thickBot="1" x14ac:dyDescent="0.3">
      <c r="A19" s="39"/>
      <c r="B19" s="39"/>
      <c r="C19" s="39"/>
      <c r="D19" s="39"/>
      <c r="E19" s="39"/>
      <c r="F19" s="39"/>
      <c r="G19" s="39" t="s">
        <v>105</v>
      </c>
      <c r="H19" s="38"/>
      <c r="I19" s="77"/>
      <c r="J19" s="77"/>
      <c r="K19" s="77"/>
      <c r="L19" s="77"/>
      <c r="M19" s="77"/>
      <c r="N19" s="77"/>
      <c r="O19" s="77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9" ht="54.5" customHeight="1" thickBot="1" x14ac:dyDescent="0.3">
      <c r="A20" s="39"/>
      <c r="B20" s="39"/>
      <c r="C20" s="39"/>
      <c r="D20" s="39"/>
      <c r="E20" s="39"/>
      <c r="F20" s="39"/>
      <c r="G20" s="53"/>
      <c r="H20" s="52"/>
      <c r="I20" s="52"/>
      <c r="J20" s="52"/>
      <c r="K20" s="52"/>
      <c r="L20" s="52"/>
      <c r="M20" s="52"/>
      <c r="N20" s="52"/>
      <c r="O20" s="51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9" ht="15" thickBo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C21" s="76"/>
    </row>
    <row r="22" spans="1:29" ht="14.5" customHeight="1" thickBot="1" x14ac:dyDescent="0.3">
      <c r="A22" s="39" t="s">
        <v>37</v>
      </c>
      <c r="B22" s="44" t="s">
        <v>104</v>
      </c>
      <c r="C22" s="44"/>
      <c r="D22" s="44"/>
      <c r="E22" s="44"/>
      <c r="F22" s="44"/>
      <c r="G22" s="70"/>
      <c r="H22" s="75"/>
      <c r="I22" s="74" t="s">
        <v>68</v>
      </c>
      <c r="J22" s="73"/>
      <c r="K22" s="73"/>
      <c r="L22" s="73"/>
      <c r="M22" s="73"/>
      <c r="N22" s="73"/>
      <c r="O22" s="44"/>
      <c r="P22" s="39"/>
      <c r="Q22" s="72" t="s">
        <v>103</v>
      </c>
      <c r="R22" s="39"/>
      <c r="S22" s="39"/>
      <c r="T22" s="39"/>
      <c r="U22" s="39"/>
      <c r="V22" s="39"/>
      <c r="W22" s="39"/>
      <c r="X22" s="39"/>
      <c r="Y22" s="39"/>
      <c r="Z22" s="39"/>
    </row>
    <row r="23" spans="1:29" ht="15" customHeight="1" thickBot="1" x14ac:dyDescent="0.3">
      <c r="A23" s="44"/>
      <c r="B23" s="66"/>
      <c r="C23" s="45"/>
      <c r="D23" s="45"/>
      <c r="E23" s="45"/>
      <c r="F23" s="45"/>
      <c r="G23" s="44"/>
      <c r="H23" s="66"/>
      <c r="I23" s="66" t="s">
        <v>102</v>
      </c>
      <c r="J23" s="57"/>
      <c r="K23" s="56"/>
      <c r="L23" s="56"/>
      <c r="M23" s="56"/>
      <c r="N23" s="56"/>
      <c r="O23" s="55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9" ht="14.5" customHeight="1" thickBot="1" x14ac:dyDescent="0.3">
      <c r="A24" s="44"/>
      <c r="B24" s="44"/>
      <c r="C24" s="45"/>
      <c r="D24" s="45"/>
      <c r="E24" s="45"/>
      <c r="F24" s="71"/>
      <c r="G24" s="70" t="s">
        <v>0</v>
      </c>
      <c r="H24" s="69"/>
      <c r="I24" s="68" t="s">
        <v>67</v>
      </c>
      <c r="J24" s="40"/>
      <c r="K24" s="40"/>
      <c r="L24" s="40"/>
      <c r="M24" s="40"/>
      <c r="N24" s="40"/>
      <c r="O24" s="44"/>
      <c r="P24" s="39"/>
      <c r="Q24" s="39"/>
      <c r="R24" s="39"/>
      <c r="S24" s="39"/>
      <c r="T24" s="39"/>
      <c r="U24" s="50"/>
      <c r="V24" s="50"/>
      <c r="W24" s="50"/>
      <c r="X24" s="50"/>
      <c r="Y24" s="50"/>
      <c r="Z24" s="50"/>
    </row>
    <row r="25" spans="1:29" ht="15" thickBot="1" x14ac:dyDescent="0.3">
      <c r="A25" s="44"/>
      <c r="B25" s="44"/>
      <c r="C25" s="45"/>
      <c r="D25" s="45"/>
      <c r="E25" s="45"/>
      <c r="F25" s="45"/>
      <c r="G25" s="44"/>
      <c r="H25" s="44"/>
      <c r="I25" s="66" t="s">
        <v>102</v>
      </c>
      <c r="J25" s="57" t="s">
        <v>101</v>
      </c>
      <c r="K25" s="56"/>
      <c r="L25" s="56"/>
      <c r="M25" s="56"/>
      <c r="N25" s="56"/>
      <c r="O25" s="55"/>
      <c r="P25" s="39"/>
      <c r="Q25" s="39"/>
      <c r="R25" s="39"/>
      <c r="S25" s="39"/>
      <c r="T25" s="39"/>
      <c r="U25" s="50"/>
      <c r="V25" s="67" t="s">
        <v>100</v>
      </c>
      <c r="W25" s="67"/>
      <c r="X25" s="67"/>
      <c r="Y25" s="67"/>
      <c r="Z25" s="50"/>
    </row>
    <row r="26" spans="1:29" ht="39.75" customHeight="1" thickBot="1" x14ac:dyDescent="0.3">
      <c r="A26" s="44"/>
      <c r="B26" s="44"/>
      <c r="C26" s="45"/>
      <c r="D26" s="45"/>
      <c r="E26" s="45"/>
      <c r="F26" s="45"/>
      <c r="G26" s="44"/>
      <c r="H26" s="44"/>
      <c r="I26" s="66" t="s">
        <v>99</v>
      </c>
      <c r="J26" s="65" t="s">
        <v>98</v>
      </c>
      <c r="K26" s="64"/>
      <c r="L26" s="64"/>
      <c r="M26" s="64"/>
      <c r="N26" s="64"/>
      <c r="O26" s="63"/>
      <c r="P26" s="39"/>
      <c r="Q26" s="39"/>
      <c r="R26" s="39"/>
      <c r="S26" s="39"/>
      <c r="T26" s="39"/>
      <c r="U26" s="50"/>
      <c r="V26" s="50" t="s">
        <v>97</v>
      </c>
      <c r="W26" s="50" t="s">
        <v>96</v>
      </c>
      <c r="X26" s="50" t="s">
        <v>95</v>
      </c>
      <c r="Y26" s="39" t="s">
        <v>94</v>
      </c>
      <c r="Z26" s="39" t="s">
        <v>93</v>
      </c>
    </row>
    <row r="27" spans="1:29" ht="32.5" customHeight="1" thickBot="1" x14ac:dyDescent="0.3">
      <c r="A27" s="62" t="s">
        <v>35</v>
      </c>
      <c r="B27" s="61" t="s">
        <v>92</v>
      </c>
      <c r="C27" s="60"/>
      <c r="D27" s="60"/>
      <c r="E27" s="60"/>
      <c r="F27" s="39"/>
      <c r="G27" s="59"/>
      <c r="H27" s="59"/>
      <c r="I27" s="59"/>
      <c r="J27" s="39"/>
      <c r="K27" s="39"/>
      <c r="L27" s="39"/>
      <c r="M27" s="39"/>
      <c r="N27" s="39"/>
      <c r="O27" s="39"/>
      <c r="P27" s="39"/>
      <c r="Q27" s="50"/>
      <c r="R27" s="50"/>
      <c r="S27" s="50"/>
      <c r="T27" s="50"/>
      <c r="U27" s="50"/>
      <c r="V27" s="50">
        <v>230</v>
      </c>
      <c r="W27" s="50">
        <v>170</v>
      </c>
      <c r="X27" s="50"/>
      <c r="Y27" s="39" t="e">
        <f>0.16*$W27*$W27/#REF!*#REF!</f>
        <v>#REF!</v>
      </c>
      <c r="Z27" s="39" t="e">
        <f>0.17*$W27*$W27/#REF!*#REF!</f>
        <v>#REF!</v>
      </c>
    </row>
    <row r="28" spans="1:29" ht="15" thickBot="1" x14ac:dyDescent="0.3">
      <c r="A28" s="39"/>
      <c r="B28" s="58" t="s">
        <v>91</v>
      </c>
      <c r="C28" s="39"/>
      <c r="D28" s="39"/>
      <c r="E28" s="39"/>
      <c r="F28" s="39"/>
      <c r="G28" s="57">
        <v>36</v>
      </c>
      <c r="H28" s="56"/>
      <c r="I28" s="55"/>
      <c r="J28" s="39" t="s">
        <v>15</v>
      </c>
      <c r="K28" s="39"/>
      <c r="L28" s="39"/>
      <c r="M28" s="39"/>
      <c r="N28" s="39"/>
      <c r="O28" s="39"/>
      <c r="P28" s="39"/>
      <c r="Q28" s="50">
        <v>0.16</v>
      </c>
      <c r="R28" s="50">
        <v>0.17</v>
      </c>
      <c r="S28" s="50" t="e">
        <f>IF(#REF!="FLAT",Q28,IF(#REF!="TREFOIL",R28,"-"))</f>
        <v>#REF!</v>
      </c>
      <c r="T28" s="50"/>
      <c r="U28" s="50"/>
      <c r="V28" s="50"/>
      <c r="W28" s="50" t="s">
        <v>90</v>
      </c>
      <c r="X28" s="50"/>
      <c r="Y28" s="50"/>
      <c r="Z28" s="50"/>
    </row>
    <row r="29" spans="1:29" ht="15" thickBot="1" x14ac:dyDescent="0.3">
      <c r="A29" s="39"/>
      <c r="B29" s="58" t="s">
        <v>89</v>
      </c>
      <c r="C29" s="39"/>
      <c r="D29" s="39"/>
      <c r="E29" s="39"/>
      <c r="F29" s="39"/>
      <c r="G29" s="57">
        <v>108</v>
      </c>
      <c r="H29" s="56"/>
      <c r="I29" s="55"/>
      <c r="J29" s="39" t="s">
        <v>88</v>
      </c>
      <c r="K29" s="39"/>
      <c r="L29" s="39"/>
      <c r="M29" s="39"/>
      <c r="N29" s="39"/>
      <c r="O29" s="39"/>
      <c r="P29" s="39"/>
      <c r="Q29" s="50" t="s">
        <v>87</v>
      </c>
      <c r="R29" s="50"/>
      <c r="S29" s="50"/>
      <c r="T29" s="50"/>
      <c r="U29" s="50"/>
      <c r="V29" s="50"/>
      <c r="W29" s="50" t="e">
        <f>$S$28*((VLOOKUP(#REF!,$V$27:$W$27,2,FALSE)^2)/#REF!)*G30</f>
        <v>#REF!</v>
      </c>
      <c r="X29" s="50"/>
      <c r="Y29" s="50"/>
      <c r="Z29" s="50"/>
    </row>
    <row r="30" spans="1:29" ht="15" thickBot="1" x14ac:dyDescent="0.3">
      <c r="A30" s="39"/>
      <c r="B30" s="58" t="s">
        <v>86</v>
      </c>
      <c r="C30" s="39"/>
      <c r="D30" s="39"/>
      <c r="E30" s="39"/>
      <c r="F30" s="39"/>
      <c r="G30" s="57">
        <v>600</v>
      </c>
      <c r="H30" s="56"/>
      <c r="I30" s="55"/>
      <c r="J30" s="39" t="s">
        <v>15</v>
      </c>
      <c r="K30" s="54"/>
      <c r="L30" s="39"/>
      <c r="M30" s="39"/>
      <c r="N30" s="39"/>
      <c r="O30" s="39"/>
      <c r="P30" s="39"/>
      <c r="Q30" s="50" t="s">
        <v>85</v>
      </c>
      <c r="R30" s="50"/>
      <c r="S30" s="50"/>
      <c r="T30" s="50"/>
      <c r="U30" s="39"/>
      <c r="V30" s="39"/>
      <c r="W30" s="39"/>
      <c r="X30" s="39"/>
      <c r="Y30" s="39"/>
      <c r="Z30" s="39"/>
    </row>
    <row r="31" spans="1:29" ht="15" thickBot="1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9" ht="15" thickBot="1" x14ac:dyDescent="0.3">
      <c r="A32" s="39" t="s">
        <v>33</v>
      </c>
      <c r="B32" s="39" t="s">
        <v>84</v>
      </c>
      <c r="C32" s="39"/>
      <c r="D32" s="39"/>
      <c r="E32" s="39"/>
      <c r="F32" s="39"/>
      <c r="G32" s="53" t="s">
        <v>70</v>
      </c>
      <c r="H32" s="52"/>
      <c r="I32" s="52"/>
      <c r="J32" s="52"/>
      <c r="K32" s="52"/>
      <c r="L32" s="52"/>
      <c r="M32" s="52"/>
      <c r="N32" s="51"/>
      <c r="O32" s="39"/>
      <c r="P32" s="39"/>
      <c r="Q32" s="50" t="s">
        <v>83</v>
      </c>
      <c r="R32" s="39"/>
      <c r="S32" s="39"/>
      <c r="T32" s="39"/>
      <c r="U32" s="39"/>
      <c r="V32" s="39"/>
      <c r="W32" s="39"/>
      <c r="X32" s="39"/>
      <c r="Y32" s="39"/>
      <c r="Z32" s="39"/>
    </row>
    <row r="34" spans="1:17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39"/>
      <c r="Q34" s="39"/>
    </row>
    <row r="36" spans="1:17" ht="31.25" customHeight="1" x14ac:dyDescent="0.25">
      <c r="A36" s="39"/>
      <c r="B36" s="41" t="s">
        <v>82</v>
      </c>
      <c r="C36" s="40" t="s">
        <v>81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9"/>
      <c r="P36" s="39"/>
      <c r="Q36" s="48" t="s">
        <v>80</v>
      </c>
    </row>
    <row r="37" spans="1:17" ht="44" customHeight="1" x14ac:dyDescent="0.25">
      <c r="A37" s="39"/>
      <c r="B37" s="41" t="s">
        <v>79</v>
      </c>
      <c r="C37" s="40" t="s">
        <v>78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39"/>
      <c r="P37" s="39"/>
      <c r="Q37" s="39"/>
    </row>
    <row r="38" spans="1:17" x14ac:dyDescent="0.25">
      <c r="A38" s="39"/>
      <c r="B38" s="46"/>
      <c r="C38" s="45" t="s">
        <v>77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39"/>
      <c r="P38" s="39"/>
      <c r="Q38" s="39"/>
    </row>
    <row r="39" spans="1:17" ht="48" customHeight="1" x14ac:dyDescent="0.25">
      <c r="A39" s="39"/>
      <c r="B39" s="44"/>
      <c r="C39" s="40" t="s">
        <v>76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9"/>
      <c r="P39" s="39"/>
      <c r="Q39" s="39"/>
    </row>
    <row r="40" spans="1:17" ht="19.25" customHeight="1" x14ac:dyDescent="0.25">
      <c r="A40" s="39"/>
      <c r="B40" s="41" t="s">
        <v>75</v>
      </c>
      <c r="C40" s="43" t="s">
        <v>74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39"/>
      <c r="P40" s="39"/>
      <c r="Q40" s="39"/>
    </row>
    <row r="41" spans="1:17" ht="27.5" customHeight="1" x14ac:dyDescent="0.25">
      <c r="A41" s="39"/>
      <c r="B41" s="41" t="s">
        <v>73</v>
      </c>
      <c r="C41" s="40" t="s">
        <v>72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39"/>
      <c r="P41" s="39"/>
      <c r="Q41" s="39"/>
    </row>
    <row r="53" spans="2:6" hidden="1" x14ac:dyDescent="0.25">
      <c r="B53" s="39" t="s">
        <v>71</v>
      </c>
      <c r="C53" s="39"/>
      <c r="D53" s="39"/>
      <c r="E53" s="39"/>
      <c r="F53" s="39" t="s">
        <v>70</v>
      </c>
    </row>
    <row r="54" spans="2:6" hidden="1" x14ac:dyDescent="0.25">
      <c r="B54" s="39" t="s">
        <v>11</v>
      </c>
      <c r="C54" s="39"/>
      <c r="D54" s="39"/>
      <c r="E54" s="39"/>
      <c r="F54" s="39" t="s">
        <v>69</v>
      </c>
    </row>
    <row r="55" spans="2:6" hidden="1" x14ac:dyDescent="0.25">
      <c r="B55" s="39"/>
      <c r="C55" s="39"/>
      <c r="D55" s="39"/>
      <c r="E55" s="39"/>
      <c r="F55" s="39"/>
    </row>
    <row r="56" spans="2:6" hidden="1" x14ac:dyDescent="0.25">
      <c r="B56" s="39" t="s">
        <v>68</v>
      </c>
      <c r="C56" s="39"/>
      <c r="D56" s="39"/>
      <c r="E56" s="39"/>
      <c r="F56" s="39"/>
    </row>
    <row r="57" spans="2:6" hidden="1" x14ac:dyDescent="0.25">
      <c r="B57" s="39" t="s">
        <v>67</v>
      </c>
      <c r="C57" s="39"/>
      <c r="D57" s="39"/>
      <c r="E57" s="39"/>
      <c r="F57" s="39" t="s">
        <v>0</v>
      </c>
    </row>
    <row r="58" spans="2:6" x14ac:dyDescent="0.25">
      <c r="B58" s="39"/>
      <c r="C58" s="39"/>
      <c r="D58" s="39"/>
      <c r="E58" s="39"/>
      <c r="F58" s="39"/>
    </row>
    <row r="59" spans="2:6" x14ac:dyDescent="0.25">
      <c r="B59" s="38"/>
      <c r="C59" s="38"/>
      <c r="D59" s="38"/>
      <c r="E59" s="38"/>
      <c r="F59" s="38"/>
    </row>
  </sheetData>
  <sheetProtection formatCells="0"/>
  <mergeCells count="30">
    <mergeCell ref="A1:O1"/>
    <mergeCell ref="N2:O2"/>
    <mergeCell ref="N3:O3"/>
    <mergeCell ref="C6:D6"/>
    <mergeCell ref="J6:O6"/>
    <mergeCell ref="G11:O11"/>
    <mergeCell ref="G12:O12"/>
    <mergeCell ref="G14:O14"/>
    <mergeCell ref="G18:N18"/>
    <mergeCell ref="G20:O20"/>
    <mergeCell ref="I22:N22"/>
    <mergeCell ref="C23:F23"/>
    <mergeCell ref="J23:O23"/>
    <mergeCell ref="C24:F24"/>
    <mergeCell ref="I24:N24"/>
    <mergeCell ref="C25:F25"/>
    <mergeCell ref="J25:O25"/>
    <mergeCell ref="V25:Y25"/>
    <mergeCell ref="C26:F26"/>
    <mergeCell ref="J26:O26"/>
    <mergeCell ref="C37:N37"/>
    <mergeCell ref="C38:N38"/>
    <mergeCell ref="C39:N39"/>
    <mergeCell ref="C41:N41"/>
    <mergeCell ref="B27:E27"/>
    <mergeCell ref="G28:I28"/>
    <mergeCell ref="G29:I29"/>
    <mergeCell ref="G30:I30"/>
    <mergeCell ref="G32:N32"/>
    <mergeCell ref="C36:N36"/>
  </mergeCells>
  <conditionalFormatting sqref="A18:N18 P18:R18">
    <cfRule type="expression" dxfId="113" priority="2">
      <formula>CELL("protect", INDIRECT(ADDRESS(ROW(), COLUMN())))=0</formula>
    </cfRule>
  </conditionalFormatting>
  <conditionalFormatting sqref="A1:R1 A2:N3 P2:R3 A4:P5 Q4:R17 A6:B6 E6:P6 A7:P15 A16:B16 D16:P16 A17:P17 A19:R19 A20:G20 P20:R20 A21:R21 B22:R22 A23:R26 A27:B27 F27:P27 R27:S27 A28:O28 R28:R31 A29:Q31 B32:G32 O32:R32 A33:R36 A37:B37 O37:R37 A38:R1048576">
    <cfRule type="expression" dxfId="112" priority="3">
      <formula>CELL("protect", INDIRECT(ADDRESS(ROW(), COLUMN())))=0</formula>
    </cfRule>
  </conditionalFormatting>
  <conditionalFormatting sqref="C6:D6">
    <cfRule type="expression" dxfId="111" priority="1">
      <formula>CELL("protect",INDIRECT(ADDRESS(ROW(),COLUMN())))=0</formula>
    </cfRule>
  </conditionalFormatting>
  <dataValidations count="3">
    <dataValidation type="list" allowBlank="1" showInputMessage="1" showErrorMessage="1" sqref="G18" xr:uid="{66944898-C7AF-1D46-A325-7D281058E59A}">
      <formula1>$B$53:$B$54</formula1>
    </dataValidation>
    <dataValidation type="list" allowBlank="1" showInputMessage="1" showErrorMessage="1" sqref="G32:N32" xr:uid="{6923EFE0-4027-0B4B-B25E-DDE42B565072}">
      <formula1>$F$53:$F$54</formula1>
    </dataValidation>
    <dataValidation type="list" allowBlank="1" showInputMessage="1" showErrorMessage="1" sqref="G22 G24" xr:uid="{0184A916-8ACD-6F48-A567-AA96E7F29F41}">
      <formula1>$F$57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74" orientation="portrait" r:id="rId1"/>
  <headerFooter>
    <oddFooter xml:space="preserve">&amp;C- Part 2 - C&amp;P -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92D7-2C6B-654A-A4CE-D6108634DC2A}">
  <dimension ref="A1:O72"/>
  <sheetViews>
    <sheetView tabSelected="1" workbookViewId="0">
      <selection activeCell="S18" sqref="S18"/>
    </sheetView>
  </sheetViews>
  <sheetFormatPr baseColWidth="10" defaultColWidth="8.6640625" defaultRowHeight="13" x14ac:dyDescent="0.15"/>
  <cols>
    <col min="1" max="1" width="2.33203125" style="1" customWidth="1"/>
    <col min="2" max="3" width="8.6640625" style="1"/>
    <col min="4" max="4" width="19.5" style="1" customWidth="1"/>
    <col min="5" max="5" width="31.5" style="1" customWidth="1"/>
    <col min="6" max="6" width="1.33203125" style="1" customWidth="1"/>
    <col min="7" max="7" width="2.6640625" style="1" customWidth="1"/>
    <col min="8" max="8" width="1.1640625" style="1" customWidth="1"/>
    <col min="9" max="9" width="8.6640625" style="1"/>
    <col min="10" max="10" width="2.6640625" style="1" customWidth="1"/>
    <col min="11" max="11" width="9.1640625" style="1" customWidth="1"/>
    <col min="12" max="12" width="1.6640625" style="1" customWidth="1"/>
    <col min="13" max="13" width="1.1640625" style="1" customWidth="1"/>
    <col min="14" max="14" width="8.6640625" style="1"/>
    <col min="15" max="15" width="4.1640625" style="1" customWidth="1"/>
    <col min="16" max="16384" width="8.6640625" style="1"/>
  </cols>
  <sheetData>
    <row r="1" spans="1:15" ht="35" customHeight="1" x14ac:dyDescent="0.15">
      <c r="A1" s="36" t="s">
        <v>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.25" customHeight="1" x14ac:dyDescent="0.1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4" t="s">
        <v>63</v>
      </c>
      <c r="M2" s="34"/>
      <c r="N2" s="34"/>
      <c r="O2" s="34"/>
    </row>
    <row r="3" spans="1:15" x14ac:dyDescent="0.1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4" t="s">
        <v>62</v>
      </c>
      <c r="O3" s="34"/>
    </row>
    <row r="4" spans="1:15" ht="8" customHeight="1" x14ac:dyDescent="0.15"/>
    <row r="5" spans="1:15" ht="15" thickBot="1" x14ac:dyDescent="0.2">
      <c r="A5" s="29" t="s">
        <v>61</v>
      </c>
      <c r="G5" s="4"/>
      <c r="M5" s="33"/>
      <c r="N5" s="33"/>
      <c r="O5" s="33"/>
    </row>
    <row r="6" spans="1:15" ht="15" thickBot="1" x14ac:dyDescent="0.2">
      <c r="A6" s="29" t="s">
        <v>60</v>
      </c>
      <c r="E6" s="11" t="s">
        <v>59</v>
      </c>
      <c r="G6" s="29" t="s">
        <v>58</v>
      </c>
      <c r="K6" s="32" t="s">
        <v>57</v>
      </c>
      <c r="L6" s="31"/>
      <c r="M6" s="31"/>
      <c r="N6" s="31"/>
      <c r="O6" s="30"/>
    </row>
    <row r="7" spans="1:15" ht="15" thickBot="1" x14ac:dyDescent="0.2">
      <c r="A7" s="29" t="s">
        <v>56</v>
      </c>
      <c r="C7" s="22" t="s">
        <v>225</v>
      </c>
      <c r="D7" s="20"/>
      <c r="G7" s="29" t="s">
        <v>54</v>
      </c>
      <c r="J7" s="22" t="s">
        <v>53</v>
      </c>
      <c r="K7" s="21"/>
      <c r="L7" s="21"/>
      <c r="M7" s="21"/>
      <c r="N7" s="21"/>
      <c r="O7" s="20"/>
    </row>
    <row r="10" spans="1:15" ht="16" x14ac:dyDescent="0.2">
      <c r="A10" s="13" t="s">
        <v>52</v>
      </c>
      <c r="B10" s="13" t="s">
        <v>51</v>
      </c>
      <c r="C10" s="13"/>
      <c r="D10" s="13"/>
      <c r="E10" s="13"/>
    </row>
    <row r="11" spans="1:15" ht="17" thickBot="1" x14ac:dyDescent="0.25">
      <c r="A11" s="13"/>
      <c r="B11" s="14" t="s">
        <v>50</v>
      </c>
      <c r="C11" s="13"/>
      <c r="D11" s="13"/>
      <c r="E11" s="13"/>
    </row>
    <row r="12" spans="1:15" ht="15" customHeight="1" thickBot="1" x14ac:dyDescent="0.25">
      <c r="A12" s="13"/>
      <c r="B12" s="14"/>
      <c r="C12" s="14" t="s">
        <v>49</v>
      </c>
      <c r="D12" s="13"/>
      <c r="E12" s="13"/>
      <c r="G12" s="22" t="s">
        <v>48</v>
      </c>
      <c r="H12" s="21"/>
      <c r="I12" s="21"/>
      <c r="J12" s="21"/>
      <c r="K12" s="21"/>
      <c r="L12" s="21"/>
      <c r="M12" s="21"/>
      <c r="N12" s="21"/>
      <c r="O12" s="20"/>
    </row>
    <row r="13" spans="1:15" ht="17" thickBot="1" x14ac:dyDescent="0.25">
      <c r="A13" s="13"/>
      <c r="B13" s="14"/>
      <c r="C13" s="14" t="s">
        <v>47</v>
      </c>
      <c r="D13" s="13"/>
      <c r="E13" s="13"/>
      <c r="G13" s="22" t="s">
        <v>66</v>
      </c>
      <c r="H13" s="21"/>
      <c r="I13" s="21"/>
      <c r="J13" s="21"/>
      <c r="K13" s="21"/>
      <c r="L13" s="21"/>
      <c r="M13" s="21"/>
      <c r="N13" s="21"/>
      <c r="O13" s="20"/>
    </row>
    <row r="14" spans="1:15" ht="6" customHeight="1" thickBot="1" x14ac:dyDescent="0.25">
      <c r="A14" s="13"/>
      <c r="B14" s="14"/>
      <c r="C14" s="13"/>
      <c r="D14" s="13"/>
      <c r="E14" s="13"/>
      <c r="G14" s="9"/>
      <c r="H14" s="9"/>
      <c r="I14" s="9"/>
      <c r="J14" s="9"/>
      <c r="K14" s="9"/>
      <c r="L14" s="9"/>
      <c r="M14" s="9"/>
      <c r="N14" s="9"/>
    </row>
    <row r="15" spans="1:15" ht="17" thickBot="1" x14ac:dyDescent="0.25">
      <c r="A15" s="13" t="s">
        <v>45</v>
      </c>
      <c r="B15" s="13" t="s">
        <v>44</v>
      </c>
      <c r="C15" s="13"/>
      <c r="D15" s="13"/>
      <c r="E15" s="28"/>
      <c r="G15" s="185" t="s">
        <v>43</v>
      </c>
      <c r="H15" s="186"/>
      <c r="I15" s="186"/>
      <c r="J15" s="186"/>
      <c r="K15" s="186"/>
      <c r="L15" s="186"/>
      <c r="M15" s="186"/>
      <c r="N15" s="186"/>
      <c r="O15" s="187"/>
    </row>
    <row r="16" spans="1:15" ht="7.25" customHeight="1" thickBot="1" x14ac:dyDescent="0.25">
      <c r="A16" s="13"/>
      <c r="B16" s="13"/>
      <c r="C16" s="13"/>
      <c r="D16" s="13"/>
      <c r="E16" s="13"/>
    </row>
    <row r="17" spans="1:15" ht="17.75" customHeight="1" thickBot="1" x14ac:dyDescent="0.25">
      <c r="A17" s="13" t="s">
        <v>42</v>
      </c>
      <c r="B17" s="13" t="s">
        <v>41</v>
      </c>
      <c r="C17" s="13"/>
      <c r="D17" s="13"/>
      <c r="E17" s="13"/>
      <c r="G17" s="19" t="s">
        <v>13</v>
      </c>
      <c r="H17" s="18"/>
      <c r="I17" s="18"/>
      <c r="J17" s="18"/>
      <c r="K17" s="18"/>
      <c r="L17" s="18"/>
      <c r="M17" s="18"/>
      <c r="N17" s="17"/>
    </row>
    <row r="18" spans="1:15" ht="14" customHeight="1" thickBot="1" x14ac:dyDescent="0.25">
      <c r="A18" s="13"/>
      <c r="B18" s="13"/>
      <c r="C18" s="13"/>
      <c r="D18" s="13"/>
      <c r="E18" s="13"/>
      <c r="G18" s="1" t="s">
        <v>23</v>
      </c>
      <c r="I18" s="6"/>
      <c r="J18" s="6"/>
      <c r="K18" s="6"/>
      <c r="L18" s="6"/>
      <c r="M18" s="6"/>
      <c r="N18" s="6"/>
      <c r="O18" s="6"/>
    </row>
    <row r="19" spans="1:15" ht="61.25" customHeight="1" thickBot="1" x14ac:dyDescent="0.25">
      <c r="A19" s="13"/>
      <c r="B19" s="13"/>
      <c r="C19" s="13"/>
      <c r="D19" s="13"/>
      <c r="E19" s="13"/>
      <c r="G19" s="19"/>
      <c r="H19" s="18"/>
      <c r="I19" s="18"/>
      <c r="J19" s="18"/>
      <c r="K19" s="18"/>
      <c r="L19" s="18"/>
      <c r="M19" s="18"/>
      <c r="N19" s="18"/>
      <c r="O19" s="17"/>
    </row>
    <row r="20" spans="1:15" ht="6" customHeight="1" thickBot="1" x14ac:dyDescent="0.25">
      <c r="A20" s="13"/>
      <c r="B20" s="13"/>
      <c r="C20" s="13"/>
      <c r="D20" s="13"/>
      <c r="E20" s="13"/>
    </row>
    <row r="21" spans="1:15" ht="15" customHeight="1" thickBot="1" x14ac:dyDescent="0.25">
      <c r="A21" s="13" t="s">
        <v>40</v>
      </c>
      <c r="B21" s="13" t="s">
        <v>39</v>
      </c>
      <c r="C21" s="13"/>
      <c r="D21" s="13"/>
      <c r="E21" s="13"/>
      <c r="G21" s="19" t="s">
        <v>65</v>
      </c>
      <c r="H21" s="18"/>
      <c r="I21" s="18"/>
      <c r="J21" s="18"/>
      <c r="K21" s="18"/>
      <c r="L21" s="18"/>
      <c r="M21" s="18"/>
      <c r="N21" s="17"/>
    </row>
    <row r="22" spans="1:15" ht="7.25" customHeight="1" thickBot="1" x14ac:dyDescent="0.25">
      <c r="A22" s="13"/>
      <c r="B22" s="13"/>
      <c r="C22" s="13"/>
      <c r="D22" s="13"/>
      <c r="E22" s="13"/>
      <c r="G22" s="9"/>
      <c r="H22" s="9"/>
      <c r="I22" s="9"/>
      <c r="J22" s="9"/>
      <c r="K22" s="9"/>
      <c r="L22" s="9"/>
      <c r="M22" s="9"/>
      <c r="N22" s="9"/>
    </row>
    <row r="23" spans="1:15" ht="15" customHeight="1" thickBot="1" x14ac:dyDescent="0.25">
      <c r="A23" s="13" t="s">
        <v>37</v>
      </c>
      <c r="B23" s="13" t="s">
        <v>36</v>
      </c>
      <c r="C23" s="13"/>
      <c r="D23" s="13"/>
      <c r="E23" s="13"/>
      <c r="G23" s="19" t="s">
        <v>3</v>
      </c>
      <c r="H23" s="18"/>
      <c r="I23" s="18"/>
      <c r="J23" s="18"/>
      <c r="K23" s="18"/>
      <c r="L23" s="18"/>
      <c r="M23" s="18"/>
      <c r="N23" s="17"/>
      <c r="O23" s="1" t="s">
        <v>28</v>
      </c>
    </row>
    <row r="24" spans="1:15" s="24" customFormat="1" ht="15" customHeight="1" thickBot="1" x14ac:dyDescent="0.25">
      <c r="A24" s="13"/>
      <c r="B24" s="13"/>
      <c r="C24" s="13"/>
      <c r="D24" s="13"/>
      <c r="E24" s="13"/>
      <c r="F24" s="1"/>
      <c r="G24" s="1" t="s">
        <v>23</v>
      </c>
      <c r="H24" s="1"/>
      <c r="I24" s="6"/>
      <c r="J24" s="6"/>
      <c r="K24" s="6"/>
      <c r="L24" s="6"/>
      <c r="M24" s="6"/>
      <c r="N24" s="6"/>
      <c r="O24" s="6"/>
    </row>
    <row r="25" spans="1:15" s="24" customFormat="1" ht="54" customHeight="1" thickBot="1" x14ac:dyDescent="0.25">
      <c r="A25" s="13"/>
      <c r="B25" s="13"/>
      <c r="C25" s="13"/>
      <c r="D25" s="13"/>
      <c r="E25" s="13"/>
      <c r="F25" s="1"/>
      <c r="G25" s="19"/>
      <c r="H25" s="18"/>
      <c r="I25" s="18"/>
      <c r="J25" s="18"/>
      <c r="K25" s="18"/>
      <c r="L25" s="18"/>
      <c r="M25" s="18"/>
      <c r="N25" s="18"/>
      <c r="O25" s="17"/>
    </row>
    <row r="26" spans="1:15" ht="5.75" customHeight="1" thickBot="1" x14ac:dyDescent="0.25">
      <c r="A26" s="13"/>
      <c r="B26" s="13"/>
      <c r="C26" s="13"/>
      <c r="D26" s="13"/>
      <c r="E26" s="13"/>
      <c r="G26" s="9"/>
      <c r="H26" s="9"/>
      <c r="I26" s="9"/>
      <c r="J26" s="9"/>
      <c r="K26" s="9"/>
      <c r="L26" s="9"/>
      <c r="M26" s="9"/>
      <c r="N26" s="9"/>
    </row>
    <row r="27" spans="1:15" ht="15" customHeight="1" thickBot="1" x14ac:dyDescent="0.25">
      <c r="A27" s="13" t="s">
        <v>35</v>
      </c>
      <c r="B27" s="13" t="s">
        <v>34</v>
      </c>
      <c r="C27" s="13"/>
      <c r="D27" s="13"/>
      <c r="E27" s="13"/>
      <c r="G27" s="22">
        <v>150</v>
      </c>
      <c r="H27" s="21"/>
      <c r="I27" s="21"/>
      <c r="J27" s="21"/>
      <c r="K27" s="20"/>
      <c r="L27" s="1" t="s">
        <v>28</v>
      </c>
    </row>
    <row r="28" spans="1:15" ht="7.25" customHeight="1" thickBot="1" x14ac:dyDescent="0.25">
      <c r="A28" s="13"/>
      <c r="B28" s="13"/>
      <c r="C28" s="13"/>
      <c r="D28" s="13"/>
      <c r="E28" s="13"/>
      <c r="G28" s="9"/>
      <c r="H28" s="9"/>
      <c r="I28" s="9"/>
      <c r="J28" s="9"/>
      <c r="K28" s="9"/>
      <c r="L28" s="9"/>
      <c r="M28" s="9"/>
    </row>
    <row r="29" spans="1:15" ht="15" customHeight="1" thickBot="1" x14ac:dyDescent="0.25">
      <c r="A29" s="13" t="s">
        <v>33</v>
      </c>
      <c r="B29" s="13" t="s">
        <v>32</v>
      </c>
      <c r="C29" s="13"/>
      <c r="D29" s="13"/>
      <c r="E29" s="13"/>
      <c r="G29" s="22">
        <v>65</v>
      </c>
      <c r="H29" s="21"/>
      <c r="I29" s="20"/>
      <c r="J29" s="9" t="s">
        <v>28</v>
      </c>
      <c r="K29" s="23">
        <v>1</v>
      </c>
      <c r="L29" s="6" t="s">
        <v>31</v>
      </c>
      <c r="M29" s="6"/>
    </row>
    <row r="30" spans="1:15" ht="6" customHeight="1" thickBot="1" x14ac:dyDescent="0.25">
      <c r="A30" s="13"/>
      <c r="B30" s="13"/>
      <c r="C30" s="13"/>
      <c r="D30" s="13"/>
      <c r="E30" s="13"/>
      <c r="G30" s="9"/>
      <c r="H30" s="9"/>
      <c r="I30" s="9"/>
      <c r="J30" s="9"/>
      <c r="K30" s="9"/>
      <c r="L30" s="9"/>
      <c r="M30" s="9"/>
    </row>
    <row r="31" spans="1:15" ht="15" customHeight="1" thickBot="1" x14ac:dyDescent="0.25">
      <c r="A31" s="13" t="s">
        <v>30</v>
      </c>
      <c r="B31" s="13" t="s">
        <v>29</v>
      </c>
      <c r="C31" s="13"/>
      <c r="D31" s="13"/>
      <c r="E31" s="13"/>
      <c r="G31" s="22">
        <v>22</v>
      </c>
      <c r="H31" s="21"/>
      <c r="I31" s="21"/>
      <c r="J31" s="21"/>
      <c r="K31" s="20"/>
      <c r="L31" s="6" t="s">
        <v>28</v>
      </c>
      <c r="M31" s="6"/>
    </row>
    <row r="32" spans="1:15" ht="7.25" customHeight="1" thickBot="1" x14ac:dyDescent="0.25">
      <c r="A32" s="13"/>
      <c r="B32" s="13"/>
      <c r="C32" s="13"/>
      <c r="D32" s="13"/>
      <c r="E32" s="13"/>
      <c r="G32" s="9"/>
      <c r="H32" s="9"/>
      <c r="I32" s="9"/>
      <c r="J32" s="9"/>
      <c r="K32" s="9"/>
      <c r="L32" s="9"/>
      <c r="M32" s="9"/>
      <c r="N32" s="9"/>
    </row>
    <row r="33" spans="1:15" ht="15" customHeight="1" thickBot="1" x14ac:dyDescent="0.25">
      <c r="A33" s="13" t="s">
        <v>27</v>
      </c>
      <c r="B33" s="13" t="s">
        <v>26</v>
      </c>
      <c r="C33" s="13"/>
      <c r="D33" s="13"/>
      <c r="E33" s="13"/>
      <c r="G33" s="19" t="s">
        <v>6</v>
      </c>
      <c r="H33" s="18"/>
      <c r="I33" s="18"/>
      <c r="J33" s="18"/>
      <c r="K33" s="18"/>
      <c r="L33" s="18"/>
      <c r="M33" s="18"/>
      <c r="N33" s="17"/>
    </row>
    <row r="34" spans="1:15" ht="15" customHeight="1" thickBot="1" x14ac:dyDescent="0.25">
      <c r="A34" s="13"/>
      <c r="B34" s="13"/>
      <c r="C34" s="13"/>
      <c r="D34" s="13"/>
      <c r="E34" s="13"/>
      <c r="G34" s="1" t="s">
        <v>23</v>
      </c>
      <c r="I34" s="6"/>
      <c r="J34" s="6"/>
      <c r="K34" s="6"/>
      <c r="L34" s="6"/>
      <c r="M34" s="6"/>
      <c r="N34" s="6"/>
      <c r="O34" s="6"/>
    </row>
    <row r="35" spans="1:15" ht="50.75" customHeight="1" thickBot="1" x14ac:dyDescent="0.25">
      <c r="A35" s="13"/>
      <c r="B35" s="13"/>
      <c r="C35" s="13"/>
      <c r="D35" s="13"/>
      <c r="E35" s="13"/>
      <c r="G35" s="19"/>
      <c r="H35" s="18"/>
      <c r="I35" s="18"/>
      <c r="J35" s="18"/>
      <c r="K35" s="18"/>
      <c r="L35" s="18"/>
      <c r="M35" s="18"/>
      <c r="N35" s="18"/>
      <c r="O35" s="17"/>
    </row>
    <row r="36" spans="1:15" ht="7.25" customHeight="1" thickBot="1" x14ac:dyDescent="0.25">
      <c r="A36" s="13"/>
      <c r="B36" s="13"/>
      <c r="C36" s="13"/>
      <c r="D36" s="13"/>
      <c r="E36" s="13"/>
      <c r="G36" s="9"/>
      <c r="H36" s="9"/>
      <c r="I36" s="9"/>
      <c r="J36" s="9"/>
      <c r="K36" s="9"/>
      <c r="L36" s="9"/>
      <c r="M36" s="9"/>
      <c r="N36" s="9"/>
    </row>
    <row r="37" spans="1:15" ht="15" customHeight="1" thickBot="1" x14ac:dyDescent="0.25">
      <c r="A37" s="13" t="s">
        <v>25</v>
      </c>
      <c r="B37" s="13" t="s">
        <v>24</v>
      </c>
      <c r="C37" s="13"/>
      <c r="D37" s="13"/>
      <c r="E37" s="13"/>
      <c r="G37" s="19" t="s">
        <v>10</v>
      </c>
      <c r="H37" s="18"/>
      <c r="I37" s="18"/>
      <c r="J37" s="18"/>
      <c r="K37" s="18"/>
      <c r="L37" s="18"/>
      <c r="M37" s="18"/>
      <c r="N37" s="17"/>
    </row>
    <row r="38" spans="1:15" ht="15" customHeight="1" thickBot="1" x14ac:dyDescent="0.25">
      <c r="A38" s="13"/>
      <c r="B38" s="13"/>
      <c r="C38" s="13"/>
      <c r="D38" s="13"/>
      <c r="E38" s="13"/>
      <c r="G38" s="1" t="s">
        <v>23</v>
      </c>
      <c r="I38" s="6"/>
      <c r="J38" s="6"/>
      <c r="K38" s="6"/>
      <c r="L38" s="6"/>
      <c r="M38" s="6"/>
      <c r="N38" s="6"/>
      <c r="O38" s="6"/>
    </row>
    <row r="39" spans="1:15" ht="53.75" customHeight="1" thickBot="1" x14ac:dyDescent="0.25">
      <c r="A39" s="13"/>
      <c r="B39" s="13"/>
      <c r="C39" s="13"/>
      <c r="D39" s="13"/>
      <c r="E39" s="13"/>
      <c r="G39" s="19"/>
      <c r="H39" s="18"/>
      <c r="I39" s="18"/>
      <c r="J39" s="18"/>
      <c r="K39" s="18"/>
      <c r="L39" s="18"/>
      <c r="M39" s="18"/>
      <c r="N39" s="18"/>
      <c r="O39" s="17"/>
    </row>
    <row r="40" spans="1:15" ht="15" customHeight="1" thickBot="1" x14ac:dyDescent="0.25">
      <c r="A40" s="13" t="s">
        <v>22</v>
      </c>
      <c r="B40" s="13" t="s">
        <v>21</v>
      </c>
      <c r="C40" s="13"/>
      <c r="D40" s="13"/>
      <c r="E40" s="13"/>
      <c r="G40" s="9"/>
      <c r="H40" s="9"/>
      <c r="I40" s="9"/>
      <c r="J40" s="9"/>
      <c r="K40" s="9"/>
      <c r="L40" s="9"/>
      <c r="M40" s="9"/>
      <c r="N40" s="9"/>
    </row>
    <row r="41" spans="1:15" ht="15" customHeight="1" thickBot="1" x14ac:dyDescent="0.25">
      <c r="A41" s="13"/>
      <c r="B41" s="13"/>
      <c r="C41" s="14" t="s">
        <v>20</v>
      </c>
      <c r="D41" s="13"/>
      <c r="E41" s="16"/>
      <c r="G41" s="1" t="s">
        <v>17</v>
      </c>
      <c r="I41" s="15">
        <v>35</v>
      </c>
      <c r="J41" s="1" t="s">
        <v>19</v>
      </c>
      <c r="K41" s="9"/>
      <c r="L41" s="7" t="s">
        <v>16</v>
      </c>
      <c r="M41" s="9"/>
      <c r="N41" s="15">
        <v>120</v>
      </c>
      <c r="O41" s="1" t="s">
        <v>19</v>
      </c>
    </row>
    <row r="42" spans="1:15" ht="15" customHeight="1" thickBot="1" x14ac:dyDescent="0.25">
      <c r="A42" s="13"/>
      <c r="B42" s="13"/>
      <c r="C42" s="14" t="s">
        <v>18</v>
      </c>
      <c r="D42" s="13"/>
      <c r="E42" s="13"/>
      <c r="G42" s="1" t="s">
        <v>17</v>
      </c>
      <c r="I42" s="12">
        <v>21.3</v>
      </c>
      <c r="J42" s="1" t="s">
        <v>15</v>
      </c>
      <c r="K42" s="9"/>
      <c r="L42" s="7" t="s">
        <v>16</v>
      </c>
      <c r="M42" s="9"/>
      <c r="N42" s="11">
        <v>35</v>
      </c>
      <c r="O42" s="1" t="s">
        <v>15</v>
      </c>
    </row>
    <row r="43" spans="1:15" ht="15" customHeight="1" x14ac:dyDescent="0.15">
      <c r="G43" s="9"/>
      <c r="H43" s="9"/>
      <c r="I43" s="9"/>
      <c r="J43" s="9"/>
      <c r="K43" s="9"/>
      <c r="L43" s="9"/>
      <c r="M43" s="9"/>
      <c r="N43" s="9"/>
    </row>
    <row r="44" spans="1:15" ht="34.5" customHeight="1" x14ac:dyDescent="0.15">
      <c r="B44" s="188" t="s">
        <v>14</v>
      </c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</row>
    <row r="45" spans="1:15" ht="15" customHeight="1" x14ac:dyDescent="0.15">
      <c r="G45" s="9"/>
      <c r="H45" s="9"/>
      <c r="I45" s="9"/>
      <c r="J45" s="9"/>
      <c r="K45" s="9"/>
      <c r="L45" s="9"/>
      <c r="M45" s="9"/>
      <c r="N45" s="9"/>
    </row>
    <row r="46" spans="1:15" ht="15" customHeight="1" x14ac:dyDescent="0.15">
      <c r="G46" s="9"/>
      <c r="H46" s="9"/>
      <c r="I46" s="9"/>
      <c r="J46" s="9"/>
      <c r="K46" s="9"/>
      <c r="L46" s="9"/>
      <c r="M46" s="9"/>
      <c r="N46" s="9"/>
    </row>
    <row r="47" spans="1:15" x14ac:dyDescent="0.15">
      <c r="H47" s="8"/>
    </row>
    <row r="48" spans="1:15" x14ac:dyDescent="0.15">
      <c r="H48" s="8"/>
      <c r="I48" s="8"/>
      <c r="J48" s="8"/>
      <c r="K48" s="8"/>
      <c r="L48" s="8"/>
      <c r="M48" s="8"/>
      <c r="N48" s="8"/>
    </row>
    <row r="49" spans="2:14" ht="15" customHeight="1" x14ac:dyDescent="0.15">
      <c r="B49" s="6"/>
      <c r="H49" s="7"/>
    </row>
    <row r="50" spans="2:14" x14ac:dyDescent="0.15">
      <c r="B50" s="6"/>
      <c r="H50" s="2"/>
      <c r="J50" s="2"/>
      <c r="K50" s="2"/>
      <c r="L50" s="2"/>
      <c r="M50" s="2"/>
      <c r="N50" s="2"/>
    </row>
    <row r="51" spans="2:14" ht="14.75" customHeight="1" x14ac:dyDescent="0.15">
      <c r="B51" s="6"/>
      <c r="H51" s="2"/>
      <c r="J51" s="2"/>
      <c r="K51" s="2"/>
      <c r="L51" s="2"/>
      <c r="M51" s="2"/>
      <c r="N51" s="2"/>
    </row>
    <row r="52" spans="2:14" ht="14.75" hidden="1" customHeight="1" x14ac:dyDescent="0.15">
      <c r="B52" s="6" t="s">
        <v>13</v>
      </c>
      <c r="H52" s="2"/>
      <c r="J52" s="2"/>
      <c r="K52" s="2"/>
      <c r="L52" s="2"/>
      <c r="M52" s="2"/>
      <c r="N52" s="2"/>
    </row>
    <row r="53" spans="2:14" hidden="1" x14ac:dyDescent="0.15">
      <c r="B53" s="6" t="s">
        <v>1</v>
      </c>
    </row>
    <row r="54" spans="2:14" hidden="1" x14ac:dyDescent="0.15"/>
    <row r="55" spans="2:14" hidden="1" x14ac:dyDescent="0.15">
      <c r="H55" s="7"/>
    </row>
    <row r="56" spans="2:14" hidden="1" x14ac:dyDescent="0.15">
      <c r="B56" s="1" t="s">
        <v>12</v>
      </c>
    </row>
    <row r="57" spans="2:14" hidden="1" x14ac:dyDescent="0.15">
      <c r="B57" s="6" t="s">
        <v>11</v>
      </c>
    </row>
    <row r="58" spans="2:14" hidden="1" x14ac:dyDescent="0.15">
      <c r="B58" s="6"/>
    </row>
    <row r="59" spans="2:14" hidden="1" x14ac:dyDescent="0.15">
      <c r="B59" s="1" t="s">
        <v>10</v>
      </c>
    </row>
    <row r="60" spans="2:14" hidden="1" x14ac:dyDescent="0.15">
      <c r="B60" s="1" t="s">
        <v>9</v>
      </c>
    </row>
    <row r="61" spans="2:14" hidden="1" x14ac:dyDescent="0.15">
      <c r="B61" s="1" t="s">
        <v>8</v>
      </c>
    </row>
    <row r="62" spans="2:14" hidden="1" x14ac:dyDescent="0.15">
      <c r="B62" s="1" t="s">
        <v>1</v>
      </c>
    </row>
    <row r="63" spans="2:14" hidden="1" x14ac:dyDescent="0.15">
      <c r="B63" s="5"/>
    </row>
    <row r="64" spans="2:14" hidden="1" x14ac:dyDescent="0.15">
      <c r="B64" s="5" t="s">
        <v>7</v>
      </c>
    </row>
    <row r="65" spans="2:14" hidden="1" x14ac:dyDescent="0.15">
      <c r="B65" s="5" t="s">
        <v>6</v>
      </c>
    </row>
    <row r="66" spans="2:14" ht="15" hidden="1" customHeight="1" x14ac:dyDescent="0.15">
      <c r="B66" s="1" t="s">
        <v>5</v>
      </c>
      <c r="I66" s="1" t="s">
        <v>4</v>
      </c>
    </row>
    <row r="67" spans="2:14" hidden="1" x14ac:dyDescent="0.15">
      <c r="B67" s="1" t="s">
        <v>1</v>
      </c>
      <c r="I67" s="1" t="s">
        <v>3</v>
      </c>
    </row>
    <row r="68" spans="2:14" hidden="1" x14ac:dyDescent="0.15">
      <c r="I68" s="1" t="s">
        <v>2</v>
      </c>
    </row>
    <row r="69" spans="2:14" hidden="1" x14ac:dyDescent="0.15">
      <c r="I69" s="1" t="s">
        <v>1</v>
      </c>
    </row>
    <row r="70" spans="2:14" hidden="1" x14ac:dyDescent="0.15">
      <c r="B70" s="4" t="s">
        <v>0</v>
      </c>
    </row>
    <row r="71" spans="2:14" ht="48" customHeight="1" x14ac:dyDescent="0.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5" customHeight="1" x14ac:dyDescent="0.15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mergeCells count="23">
    <mergeCell ref="G35:O35"/>
    <mergeCell ref="G37:N37"/>
    <mergeCell ref="G39:O39"/>
    <mergeCell ref="B44:N44"/>
    <mergeCell ref="G23:N23"/>
    <mergeCell ref="G25:O25"/>
    <mergeCell ref="G27:K27"/>
    <mergeCell ref="G29:I29"/>
    <mergeCell ref="G31:K31"/>
    <mergeCell ref="G33:N33"/>
    <mergeCell ref="G12:O12"/>
    <mergeCell ref="G13:O13"/>
    <mergeCell ref="G15:O15"/>
    <mergeCell ref="G17:N17"/>
    <mergeCell ref="G19:O19"/>
    <mergeCell ref="G21:N21"/>
    <mergeCell ref="A1:O1"/>
    <mergeCell ref="L2:O2"/>
    <mergeCell ref="N3:O3"/>
    <mergeCell ref="M5:O5"/>
    <mergeCell ref="K6:O6"/>
    <mergeCell ref="C7:D7"/>
    <mergeCell ref="J7:O7"/>
  </mergeCells>
  <conditionalFormatting sqref="A1 P1:XFD3 A2:L2 A3:N3 P23:XFD23 A26:XFD43 A44 O44:XFD44 A45:XFD48 A49:H58 J49:XFD58 A59:XFD59 A60:H63 J60:XFD63">
    <cfRule type="expression" dxfId="13" priority="14">
      <formula>CELL("protect", INDIRECT(ADDRESS(ROW(), COLUMN())))=0</formula>
    </cfRule>
  </conditionalFormatting>
  <conditionalFormatting sqref="A23:N23">
    <cfRule type="expression" dxfId="12" priority="5">
      <formula>CELL("protect", INDIRECT(ADDRESS(ROW(), COLUMN())))=0</formula>
    </cfRule>
  </conditionalFormatting>
  <conditionalFormatting sqref="A4:XFD6 A7:B7 E7:XFD7 A8:XFD22">
    <cfRule type="expression" dxfId="11" priority="3">
      <formula>CELL("protect", INDIRECT(ADDRESS(ROW(), COLUMN())))=0</formula>
    </cfRule>
  </conditionalFormatting>
  <conditionalFormatting sqref="A64:XFD1048576">
    <cfRule type="expression" dxfId="10" priority="6">
      <formula>CELL("protect", INDIRECT(ADDRESS(ROW(), COLUMN())))=0</formula>
    </cfRule>
  </conditionalFormatting>
  <conditionalFormatting sqref="B44">
    <cfRule type="expression" dxfId="9" priority="2">
      <formula>CELL("protect",INDIRECT(ADDRESS(ROW(),COLUMN())))=0</formula>
    </cfRule>
  </conditionalFormatting>
  <conditionalFormatting sqref="C7:D7">
    <cfRule type="expression" dxfId="8" priority="1">
      <formula>CELL("protect",INDIRECT(ADDRESS(ROW(),COLUMN())))=0</formula>
    </cfRule>
  </conditionalFormatting>
  <conditionalFormatting sqref="G17:N17">
    <cfRule type="expression" dxfId="7" priority="12">
      <formula>CELL("protect", INDIRECT(ADDRESS(ROW(), COLUMN())))=0</formula>
    </cfRule>
  </conditionalFormatting>
  <conditionalFormatting sqref="G21:N21">
    <cfRule type="expression" dxfId="6" priority="11">
      <formula>CELL("protect", INDIRECT(ADDRESS(ROW(), COLUMN())))=0</formula>
    </cfRule>
  </conditionalFormatting>
  <conditionalFormatting sqref="G37:N37">
    <cfRule type="expression" dxfId="5" priority="10">
      <formula>CELL("protect", INDIRECT(ADDRESS(ROW(), COLUMN())))=0</formula>
    </cfRule>
  </conditionalFormatting>
  <conditionalFormatting sqref="G18:O19">
    <cfRule type="expression" dxfId="4" priority="13">
      <formula>CELL("protect", INDIRECT(ADDRESS(ROW(), COLUMN())))=0</formula>
    </cfRule>
  </conditionalFormatting>
  <conditionalFormatting sqref="G24:O25">
    <cfRule type="expression" dxfId="3" priority="4">
      <formula>CELL("protect", INDIRECT(ADDRESS(ROW(), COLUMN())))=0</formula>
    </cfRule>
  </conditionalFormatting>
  <conditionalFormatting sqref="G33:O35">
    <cfRule type="expression" dxfId="2" priority="8">
      <formula>CELL("protect", INDIRECT(ADDRESS(ROW(), COLUMN())))=0</formula>
    </cfRule>
  </conditionalFormatting>
  <conditionalFormatting sqref="G38:O39">
    <cfRule type="expression" dxfId="1" priority="9">
      <formula>CELL("protect", INDIRECT(ADDRESS(ROW(), COLUMN())))=0</formula>
    </cfRule>
  </conditionalFormatting>
  <conditionalFormatting sqref="I56:I64">
    <cfRule type="expression" dxfId="0" priority="7">
      <formula>CELL("protect", INDIRECT(ADDRESS(ROW(), COLUMN())))=0</formula>
    </cfRule>
  </conditionalFormatting>
  <dataValidations count="4">
    <dataValidation type="list" allowBlank="1" showInputMessage="1" showErrorMessage="1" sqref="G23:N23" xr:uid="{5EBD8173-F4B9-D74D-9685-0AE67F25809B}">
      <formula1>$I$66:$I$69</formula1>
    </dataValidation>
    <dataValidation type="list" allowBlank="1" showInputMessage="1" showErrorMessage="1" sqref="G33:N33" xr:uid="{46B039DB-D387-8740-8DA0-49E7A4329293}">
      <formula1>$B$64:$B$67</formula1>
    </dataValidation>
    <dataValidation type="list" allowBlank="1" showInputMessage="1" showErrorMessage="1" sqref="G37:N37" xr:uid="{72319078-29D7-5C47-BD57-C6911BF67914}">
      <formula1>$B$59:$B$62</formula1>
    </dataValidation>
    <dataValidation type="list" allowBlank="1" showInputMessage="1" showErrorMessage="1" sqref="G17:N17" xr:uid="{DB3C8721-5521-404F-BFD8-E1F06E1B1007}">
      <formula1>$B$52:$B$53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B719-6D57-C848-8727-59BDAEB18244}">
  <dimension ref="A1:O56"/>
  <sheetViews>
    <sheetView view="pageBreakPreview" zoomScale="156" zoomScaleNormal="100" zoomScaleSheetLayoutView="110" workbookViewId="0">
      <selection activeCell="AE38" sqref="AE38"/>
    </sheetView>
  </sheetViews>
  <sheetFormatPr baseColWidth="10" defaultRowHeight="15" x14ac:dyDescent="0.2"/>
  <cols>
    <col min="1" max="1" width="2.33203125" style="97" customWidth="1"/>
    <col min="2" max="2" width="6.33203125" style="97" customWidth="1"/>
    <col min="3" max="3" width="10.83203125" style="97"/>
    <col min="4" max="4" width="9.5" style="97" customWidth="1"/>
    <col min="5" max="5" width="24.6640625" style="97" customWidth="1"/>
    <col min="6" max="6" width="3.33203125" style="97" customWidth="1"/>
    <col min="7" max="7" width="2.83203125" style="97" customWidth="1"/>
    <col min="8" max="8" width="1.1640625" style="97" customWidth="1"/>
    <col min="9" max="9" width="14.33203125" style="97" customWidth="1"/>
    <col min="10" max="10" width="3.33203125" style="97" customWidth="1"/>
    <col min="11" max="11" width="7" style="97" customWidth="1"/>
    <col min="12" max="12" width="2.1640625" style="97" customWidth="1"/>
    <col min="13" max="13" width="15.6640625" style="97" customWidth="1"/>
    <col min="14" max="14" width="3.33203125" style="97" customWidth="1"/>
    <col min="15" max="16384" width="10.83203125" style="97"/>
  </cols>
  <sheetData>
    <row r="1" spans="1:15" ht="16" x14ac:dyDescent="0.2">
      <c r="A1" s="36" t="s">
        <v>190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4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7" t="s">
        <v>189</v>
      </c>
      <c r="N2" s="127"/>
      <c r="O2" s="125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26" t="s">
        <v>188</v>
      </c>
      <c r="N3" s="126"/>
      <c r="O3" s="125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6" thickBot="1" x14ac:dyDescent="0.25">
      <c r="A5" s="4" t="s">
        <v>61</v>
      </c>
      <c r="B5" s="1"/>
      <c r="C5" s="1"/>
      <c r="D5" s="1"/>
      <c r="E5" s="1"/>
      <c r="F5" s="1"/>
      <c r="G5" s="4"/>
      <c r="H5" s="1"/>
      <c r="I5" s="1"/>
      <c r="J5" s="1"/>
      <c r="K5" s="1"/>
      <c r="L5" s="1"/>
      <c r="M5" s="1"/>
      <c r="N5" s="1"/>
      <c r="O5" s="1"/>
    </row>
    <row r="6" spans="1:15" ht="16" thickBot="1" x14ac:dyDescent="0.25">
      <c r="A6" s="4" t="s">
        <v>60</v>
      </c>
      <c r="B6" s="1"/>
      <c r="C6" s="124"/>
      <c r="D6" s="124"/>
      <c r="E6" s="11" t="s">
        <v>59</v>
      </c>
      <c r="F6" s="1"/>
      <c r="G6" s="4" t="s">
        <v>58</v>
      </c>
      <c r="H6" s="1"/>
      <c r="I6" s="1"/>
      <c r="J6" s="1"/>
      <c r="K6" s="22" t="s">
        <v>187</v>
      </c>
      <c r="L6" s="21"/>
      <c r="M6" s="21"/>
      <c r="N6" s="20"/>
      <c r="O6" s="1"/>
    </row>
    <row r="7" spans="1:15" ht="16" thickBot="1" x14ac:dyDescent="0.25">
      <c r="A7" s="4" t="s">
        <v>56</v>
      </c>
      <c r="B7" s="1"/>
      <c r="C7" s="22" t="s">
        <v>225</v>
      </c>
      <c r="D7" s="20"/>
      <c r="E7" s="123"/>
      <c r="F7" s="1"/>
      <c r="G7" s="4" t="s">
        <v>54</v>
      </c>
      <c r="H7" s="1"/>
      <c r="I7" s="1"/>
      <c r="J7" s="22" t="s">
        <v>186</v>
      </c>
      <c r="K7" s="21"/>
      <c r="L7" s="21"/>
      <c r="M7" s="21"/>
      <c r="N7" s="20"/>
      <c r="O7" s="1"/>
    </row>
    <row r="8" spans="1:15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</row>
    <row r="9" spans="1:15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spans="1:15" ht="16" thickBot="1" x14ac:dyDescent="0.25">
      <c r="A10" s="112" t="s">
        <v>52</v>
      </c>
      <c r="B10" s="98" t="s">
        <v>51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1:15" ht="16" thickBot="1" x14ac:dyDescent="0.25">
      <c r="A11" s="112"/>
      <c r="B11" s="107"/>
      <c r="C11" s="107" t="s">
        <v>49</v>
      </c>
      <c r="D11" s="98"/>
      <c r="E11" s="98"/>
      <c r="F11" s="98"/>
      <c r="G11" s="106" t="s">
        <v>185</v>
      </c>
      <c r="H11" s="105"/>
      <c r="I11" s="105"/>
      <c r="J11" s="105"/>
      <c r="K11" s="105"/>
      <c r="L11" s="105"/>
      <c r="M11" s="104"/>
      <c r="N11" s="102"/>
      <c r="O11" s="98"/>
    </row>
    <row r="12" spans="1:15" ht="16" thickBot="1" x14ac:dyDescent="0.25">
      <c r="A12" s="112"/>
      <c r="B12" s="107"/>
      <c r="C12" s="107" t="s">
        <v>47</v>
      </c>
      <c r="D12" s="98"/>
      <c r="E12" s="98"/>
      <c r="F12" s="98"/>
      <c r="G12" s="106" t="s">
        <v>184</v>
      </c>
      <c r="H12" s="105"/>
      <c r="I12" s="105"/>
      <c r="J12" s="105"/>
      <c r="K12" s="105"/>
      <c r="L12" s="105"/>
      <c r="M12" s="104"/>
      <c r="N12" s="102"/>
      <c r="O12" s="98"/>
    </row>
    <row r="13" spans="1:15" ht="16" thickBot="1" x14ac:dyDescent="0.25">
      <c r="A13" s="112"/>
      <c r="B13" s="107"/>
      <c r="C13" s="107"/>
      <c r="D13" s="98"/>
      <c r="E13" s="98"/>
      <c r="F13" s="98"/>
      <c r="G13" s="122"/>
      <c r="H13" s="122"/>
      <c r="I13" s="122"/>
      <c r="J13" s="122"/>
      <c r="K13" s="122"/>
      <c r="L13" s="122"/>
      <c r="M13" s="122"/>
      <c r="N13" s="102"/>
      <c r="O13" s="98"/>
    </row>
    <row r="14" spans="1:15" ht="16" thickBot="1" x14ac:dyDescent="0.25">
      <c r="A14" s="112" t="s">
        <v>45</v>
      </c>
      <c r="B14" s="98" t="s">
        <v>44</v>
      </c>
      <c r="C14" s="98"/>
      <c r="D14" s="98"/>
      <c r="E14" s="98"/>
      <c r="F14" s="98"/>
      <c r="G14" s="106" t="s">
        <v>183</v>
      </c>
      <c r="H14" s="105"/>
      <c r="I14" s="105"/>
      <c r="J14" s="105"/>
      <c r="K14" s="105"/>
      <c r="L14" s="105"/>
      <c r="M14" s="104"/>
      <c r="N14" s="102"/>
      <c r="O14" s="98"/>
    </row>
    <row r="15" spans="1:15" ht="16" thickBot="1" x14ac:dyDescent="0.25">
      <c r="A15" s="112"/>
      <c r="B15" s="98"/>
      <c r="C15" s="98"/>
      <c r="D15" s="98"/>
      <c r="E15" s="98"/>
      <c r="F15" s="98"/>
      <c r="G15" s="102"/>
      <c r="H15" s="102"/>
      <c r="I15" s="102"/>
      <c r="J15" s="102"/>
      <c r="K15" s="102"/>
      <c r="L15" s="102"/>
      <c r="M15" s="102"/>
      <c r="N15" s="102"/>
      <c r="O15" s="98"/>
    </row>
    <row r="16" spans="1:15" ht="16" thickBot="1" x14ac:dyDescent="0.25">
      <c r="A16" s="112" t="s">
        <v>42</v>
      </c>
      <c r="B16" s="98" t="s">
        <v>41</v>
      </c>
      <c r="C16" s="98"/>
      <c r="D16" s="98"/>
      <c r="E16" s="98"/>
      <c r="F16" s="98"/>
      <c r="G16" s="121" t="s">
        <v>182</v>
      </c>
      <c r="H16" s="120"/>
      <c r="I16" s="120"/>
      <c r="J16" s="120"/>
      <c r="K16" s="120"/>
      <c r="L16" s="120"/>
      <c r="M16" s="119"/>
      <c r="N16" s="118"/>
      <c r="O16" s="98"/>
    </row>
    <row r="17" spans="1:15" ht="16" thickBot="1" x14ac:dyDescent="0.25">
      <c r="A17" s="112"/>
      <c r="B17" s="98"/>
      <c r="C17" s="98"/>
      <c r="D17" s="98"/>
      <c r="E17" s="98"/>
      <c r="F17" s="98"/>
      <c r="G17" s="98" t="s">
        <v>23</v>
      </c>
      <c r="H17" s="98"/>
      <c r="I17" s="103"/>
      <c r="J17" s="103"/>
      <c r="K17" s="103"/>
      <c r="L17" s="103"/>
      <c r="M17" s="103"/>
      <c r="N17" s="103"/>
      <c r="O17" s="98"/>
    </row>
    <row r="18" spans="1:15" ht="16" thickBot="1" x14ac:dyDescent="0.25">
      <c r="A18" s="112"/>
      <c r="B18" s="98"/>
      <c r="C18" s="98"/>
      <c r="D18" s="98"/>
      <c r="E18" s="98"/>
      <c r="F18" s="98"/>
      <c r="G18" s="121"/>
      <c r="H18" s="120"/>
      <c r="I18" s="120"/>
      <c r="J18" s="120"/>
      <c r="K18" s="120"/>
      <c r="L18" s="120"/>
      <c r="M18" s="120"/>
      <c r="N18" s="119"/>
      <c r="O18" s="98"/>
    </row>
    <row r="19" spans="1:15" ht="16" thickBot="1" x14ac:dyDescent="0.25">
      <c r="A19" s="112"/>
      <c r="B19" s="98"/>
      <c r="C19" s="98"/>
      <c r="D19" s="98"/>
      <c r="E19" s="98"/>
      <c r="F19" s="98"/>
      <c r="G19" s="102"/>
      <c r="H19" s="102"/>
      <c r="I19" s="102"/>
      <c r="J19" s="102"/>
      <c r="K19" s="102"/>
      <c r="L19" s="102"/>
      <c r="M19" s="102"/>
      <c r="N19" s="102"/>
      <c r="O19" s="98"/>
    </row>
    <row r="20" spans="1:15" ht="16" thickBot="1" x14ac:dyDescent="0.25">
      <c r="A20" s="112" t="s">
        <v>40</v>
      </c>
      <c r="B20" s="98" t="s">
        <v>181</v>
      </c>
      <c r="C20" s="98"/>
      <c r="D20" s="98"/>
      <c r="E20" s="98"/>
      <c r="F20" s="98"/>
      <c r="G20" s="106">
        <v>25</v>
      </c>
      <c r="H20" s="105"/>
      <c r="I20" s="105"/>
      <c r="J20" s="105"/>
      <c r="K20" s="105"/>
      <c r="L20" s="104"/>
      <c r="M20" s="103" t="s">
        <v>28</v>
      </c>
      <c r="N20" s="102"/>
      <c r="O20" s="98"/>
    </row>
    <row r="21" spans="1:15" ht="17" thickBot="1" x14ac:dyDescent="0.25">
      <c r="A21" s="112" t="s">
        <v>37</v>
      </c>
      <c r="B21" s="98" t="s">
        <v>180</v>
      </c>
      <c r="C21" s="98"/>
      <c r="D21" s="98"/>
      <c r="E21" s="98"/>
      <c r="F21" s="98"/>
      <c r="G21" s="106">
        <v>35.700000000000003</v>
      </c>
      <c r="H21" s="105"/>
      <c r="I21" s="105"/>
      <c r="J21" s="105"/>
      <c r="K21" s="105"/>
      <c r="L21" s="104"/>
      <c r="M21" s="98" t="s">
        <v>179</v>
      </c>
      <c r="N21" s="102"/>
      <c r="O21" s="98"/>
    </row>
    <row r="22" spans="1:15" ht="16" thickBot="1" x14ac:dyDescent="0.25">
      <c r="A22" s="112"/>
      <c r="B22" s="98"/>
      <c r="C22" s="107" t="s">
        <v>178</v>
      </c>
      <c r="D22" s="98"/>
      <c r="E22" s="98"/>
      <c r="F22" s="98"/>
      <c r="G22" s="106" t="s">
        <v>177</v>
      </c>
      <c r="H22" s="105"/>
      <c r="I22" s="105"/>
      <c r="J22" s="105"/>
      <c r="K22" s="105"/>
      <c r="L22" s="104"/>
      <c r="M22" s="103"/>
      <c r="N22" s="102"/>
      <c r="O22" s="98"/>
    </row>
    <row r="23" spans="1:15" ht="16" thickBot="1" x14ac:dyDescent="0.25">
      <c r="A23" s="112"/>
      <c r="B23" s="98"/>
      <c r="C23" s="107" t="s">
        <v>176</v>
      </c>
      <c r="D23" s="98"/>
      <c r="E23" s="98"/>
      <c r="F23" s="98"/>
      <c r="G23" s="106">
        <v>7</v>
      </c>
      <c r="H23" s="105"/>
      <c r="I23" s="105"/>
      <c r="J23" s="105"/>
      <c r="K23" s="105"/>
      <c r="L23" s="104"/>
      <c r="M23" s="103"/>
      <c r="N23" s="102"/>
      <c r="O23" s="98"/>
    </row>
    <row r="24" spans="1:15" ht="16" thickBot="1" x14ac:dyDescent="0.25">
      <c r="A24" s="112"/>
      <c r="B24" s="98"/>
      <c r="C24" s="107" t="s">
        <v>175</v>
      </c>
      <c r="D24" s="98"/>
      <c r="E24" s="98"/>
      <c r="F24" s="98"/>
      <c r="G24" s="106">
        <v>2.65</v>
      </c>
      <c r="H24" s="105"/>
      <c r="I24" s="105"/>
      <c r="J24" s="105"/>
      <c r="K24" s="105"/>
      <c r="L24" s="104"/>
      <c r="M24" s="103" t="s">
        <v>15</v>
      </c>
      <c r="N24" s="102"/>
      <c r="O24" s="98"/>
    </row>
    <row r="25" spans="1:15" ht="16" thickBot="1" x14ac:dyDescent="0.25">
      <c r="A25" s="112"/>
      <c r="B25" s="98"/>
      <c r="C25" s="107"/>
      <c r="D25" s="98"/>
      <c r="E25" s="98"/>
      <c r="F25" s="98"/>
      <c r="G25" s="113"/>
      <c r="H25" s="113"/>
      <c r="I25" s="113"/>
      <c r="J25" s="113"/>
      <c r="K25" s="113"/>
      <c r="L25" s="113"/>
      <c r="M25" s="103"/>
      <c r="N25" s="102"/>
      <c r="O25" s="98"/>
    </row>
    <row r="26" spans="1:15" ht="16" thickBot="1" x14ac:dyDescent="0.25">
      <c r="A26" s="112" t="s">
        <v>35</v>
      </c>
      <c r="B26" s="98" t="s">
        <v>174</v>
      </c>
      <c r="C26" s="118"/>
      <c r="D26" s="118"/>
      <c r="E26" s="118"/>
      <c r="F26" s="118"/>
      <c r="G26" s="98" t="s">
        <v>17</v>
      </c>
      <c r="H26" s="98"/>
      <c r="I26" s="15">
        <v>6.88</v>
      </c>
      <c r="J26" s="98" t="s">
        <v>15</v>
      </c>
      <c r="K26" s="111"/>
      <c r="L26" s="111" t="s">
        <v>16</v>
      </c>
      <c r="M26" s="15">
        <v>7.02</v>
      </c>
      <c r="N26" s="98" t="s">
        <v>15</v>
      </c>
      <c r="O26" s="98"/>
    </row>
    <row r="27" spans="1:15" ht="16" thickBot="1" x14ac:dyDescent="0.25">
      <c r="A27" s="112"/>
      <c r="B27" s="98"/>
      <c r="C27" s="98"/>
      <c r="D27" s="98"/>
      <c r="E27" s="98"/>
      <c r="F27" s="98"/>
      <c r="G27" s="118"/>
      <c r="H27" s="118"/>
      <c r="I27" s="118"/>
      <c r="J27" s="118"/>
      <c r="K27" s="118"/>
      <c r="L27" s="118"/>
      <c r="M27" s="103"/>
      <c r="N27" s="102"/>
      <c r="O27" s="98"/>
    </row>
    <row r="28" spans="1:15" ht="16" thickBot="1" x14ac:dyDescent="0.25">
      <c r="A28" s="112" t="s">
        <v>33</v>
      </c>
      <c r="B28" s="98" t="s">
        <v>173</v>
      </c>
      <c r="C28" s="98"/>
      <c r="D28" s="98" t="s">
        <v>159</v>
      </c>
      <c r="E28" s="98"/>
      <c r="F28" s="98"/>
      <c r="G28" s="106" t="s">
        <v>169</v>
      </c>
      <c r="H28" s="105"/>
      <c r="I28" s="105"/>
      <c r="J28" s="105"/>
      <c r="K28" s="104"/>
      <c r="L28" s="116" t="s">
        <v>157</v>
      </c>
      <c r="M28" s="115">
        <v>0.6</v>
      </c>
      <c r="N28" s="102" t="s">
        <v>15</v>
      </c>
      <c r="O28" s="98"/>
    </row>
    <row r="29" spans="1:15" ht="16" thickBot="1" x14ac:dyDescent="0.25">
      <c r="A29" s="112" t="s">
        <v>30</v>
      </c>
      <c r="B29" s="98" t="s">
        <v>172</v>
      </c>
      <c r="C29" s="98"/>
      <c r="D29" s="98" t="s">
        <v>159</v>
      </c>
      <c r="E29" s="98"/>
      <c r="F29" s="98"/>
      <c r="G29" s="106" t="s">
        <v>171</v>
      </c>
      <c r="H29" s="105"/>
      <c r="I29" s="105"/>
      <c r="J29" s="105"/>
      <c r="K29" s="104"/>
      <c r="L29" s="116" t="s">
        <v>157</v>
      </c>
      <c r="M29" s="115">
        <v>8.76</v>
      </c>
      <c r="N29" s="102" t="s">
        <v>15</v>
      </c>
      <c r="O29" s="98"/>
    </row>
    <row r="30" spans="1:15" ht="16" thickBot="1" x14ac:dyDescent="0.25">
      <c r="A30" s="112" t="s">
        <v>27</v>
      </c>
      <c r="B30" s="98" t="s">
        <v>170</v>
      </c>
      <c r="C30" s="98"/>
      <c r="D30" s="98" t="s">
        <v>159</v>
      </c>
      <c r="E30" s="98"/>
      <c r="F30" s="98"/>
      <c r="G30" s="106" t="s">
        <v>169</v>
      </c>
      <c r="H30" s="105"/>
      <c r="I30" s="105"/>
      <c r="J30" s="105"/>
      <c r="K30" s="104"/>
      <c r="L30" s="116" t="s">
        <v>157</v>
      </c>
      <c r="M30" s="115">
        <v>0.7</v>
      </c>
      <c r="N30" s="102" t="s">
        <v>15</v>
      </c>
      <c r="O30" s="98"/>
    </row>
    <row r="31" spans="1:15" ht="16" thickBot="1" x14ac:dyDescent="0.25">
      <c r="A31" s="112"/>
      <c r="B31" s="98"/>
      <c r="C31" s="98"/>
      <c r="D31" s="98"/>
      <c r="E31" s="98"/>
      <c r="F31" s="98"/>
      <c r="G31" s="113"/>
      <c r="H31" s="113"/>
      <c r="I31" s="113"/>
      <c r="J31" s="113"/>
      <c r="K31" s="113"/>
      <c r="L31" s="113"/>
      <c r="M31" s="113"/>
      <c r="N31" s="102"/>
      <c r="O31" s="98"/>
    </row>
    <row r="32" spans="1:15" ht="16" thickBot="1" x14ac:dyDescent="0.25">
      <c r="A32" s="112" t="s">
        <v>25</v>
      </c>
      <c r="B32" s="108" t="s">
        <v>168</v>
      </c>
      <c r="C32" s="108"/>
      <c r="D32" s="108"/>
      <c r="E32" s="108"/>
      <c r="F32" s="108"/>
      <c r="G32" s="98" t="s">
        <v>17</v>
      </c>
      <c r="H32" s="98"/>
      <c r="I32" s="15">
        <v>25.5</v>
      </c>
      <c r="J32" s="98" t="s">
        <v>15</v>
      </c>
      <c r="K32" s="111"/>
      <c r="L32" s="111" t="s">
        <v>16</v>
      </c>
      <c r="M32" s="15">
        <v>27.5</v>
      </c>
      <c r="N32" s="98" t="s">
        <v>15</v>
      </c>
      <c r="O32" s="98"/>
    </row>
    <row r="33" spans="1:15" ht="16" thickBot="1" x14ac:dyDescent="0.25">
      <c r="A33" s="112"/>
      <c r="B33" s="98" t="s">
        <v>167</v>
      </c>
      <c r="C33" s="98"/>
      <c r="D33" s="98"/>
      <c r="E33" s="98"/>
      <c r="F33" s="98"/>
      <c r="G33" s="118"/>
      <c r="H33" s="118"/>
      <c r="I33" s="117"/>
      <c r="J33" s="118"/>
      <c r="K33" s="118"/>
      <c r="L33" s="118"/>
      <c r="M33" s="117"/>
      <c r="N33" s="102"/>
      <c r="O33" s="98"/>
    </row>
    <row r="34" spans="1:15" ht="16" thickBot="1" x14ac:dyDescent="0.25">
      <c r="A34" s="112" t="s">
        <v>22</v>
      </c>
      <c r="B34" s="98" t="s">
        <v>166</v>
      </c>
      <c r="C34" s="98"/>
      <c r="D34" s="98" t="s">
        <v>159</v>
      </c>
      <c r="E34" s="98"/>
      <c r="F34" s="98"/>
      <c r="G34" s="106" t="s">
        <v>165</v>
      </c>
      <c r="H34" s="105"/>
      <c r="I34" s="105"/>
      <c r="J34" s="105"/>
      <c r="K34" s="104"/>
      <c r="L34" s="116" t="s">
        <v>157</v>
      </c>
      <c r="M34" s="115">
        <v>0.1</v>
      </c>
      <c r="N34" s="102" t="s">
        <v>15</v>
      </c>
      <c r="O34" s="98"/>
    </row>
    <row r="35" spans="1:15" ht="16" thickBot="1" x14ac:dyDescent="0.25">
      <c r="A35" s="112" t="s">
        <v>164</v>
      </c>
      <c r="B35" s="98" t="s">
        <v>163</v>
      </c>
      <c r="C35" s="98"/>
      <c r="D35" s="98" t="s">
        <v>159</v>
      </c>
      <c r="E35" s="98"/>
      <c r="F35" s="98"/>
      <c r="G35" s="106" t="s">
        <v>162</v>
      </c>
      <c r="H35" s="105"/>
      <c r="I35" s="105"/>
      <c r="J35" s="105"/>
      <c r="K35" s="104"/>
      <c r="L35" s="116" t="s">
        <v>157</v>
      </c>
      <c r="M35" s="115">
        <v>0.1</v>
      </c>
      <c r="N35" s="102" t="s">
        <v>15</v>
      </c>
      <c r="O35" s="98"/>
    </row>
    <row r="36" spans="1:15" ht="16" thickBot="1" x14ac:dyDescent="0.25">
      <c r="A36" s="112" t="s">
        <v>161</v>
      </c>
      <c r="B36" s="98" t="s">
        <v>160</v>
      </c>
      <c r="C36" s="98"/>
      <c r="D36" s="98" t="s">
        <v>159</v>
      </c>
      <c r="E36" s="98"/>
      <c r="F36" s="98"/>
      <c r="G36" s="106" t="s">
        <v>158</v>
      </c>
      <c r="H36" s="105"/>
      <c r="I36" s="105"/>
      <c r="J36" s="105"/>
      <c r="K36" s="104"/>
      <c r="L36" s="116" t="s">
        <v>157</v>
      </c>
      <c r="M36" s="115">
        <v>2.0299999999999998</v>
      </c>
      <c r="N36" s="102" t="s">
        <v>15</v>
      </c>
      <c r="O36" s="98"/>
    </row>
    <row r="37" spans="1:15" ht="16" thickBot="1" x14ac:dyDescent="0.25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4"/>
      <c r="N37" s="113"/>
      <c r="O37" s="113"/>
    </row>
    <row r="38" spans="1:15" ht="16" thickBot="1" x14ac:dyDescent="0.25">
      <c r="A38" s="112" t="s">
        <v>156</v>
      </c>
      <c r="B38" s="107" t="s">
        <v>155</v>
      </c>
      <c r="C38" s="98"/>
      <c r="D38" s="98"/>
      <c r="E38" s="98"/>
      <c r="F38" s="98"/>
      <c r="G38" s="98" t="s">
        <v>17</v>
      </c>
      <c r="H38" s="98"/>
      <c r="I38" s="15">
        <v>31</v>
      </c>
      <c r="J38" s="98" t="s">
        <v>15</v>
      </c>
      <c r="K38" s="111"/>
      <c r="L38" s="111" t="s">
        <v>16</v>
      </c>
      <c r="M38" s="15">
        <v>35</v>
      </c>
      <c r="N38" s="98" t="s">
        <v>15</v>
      </c>
      <c r="O38" s="98"/>
    </row>
    <row r="39" spans="1:15" ht="16" thickBot="1" x14ac:dyDescent="0.25">
      <c r="A39" s="98"/>
      <c r="B39" s="98"/>
      <c r="C39" s="98"/>
      <c r="D39" s="98"/>
      <c r="E39" s="98"/>
      <c r="F39" s="98"/>
      <c r="G39" s="98"/>
      <c r="H39" s="98"/>
      <c r="I39" s="110"/>
      <c r="J39" s="98"/>
      <c r="K39" s="98"/>
      <c r="L39" s="98"/>
      <c r="M39" s="98"/>
      <c r="N39" s="98"/>
      <c r="O39" s="98"/>
    </row>
    <row r="40" spans="1:15" ht="16" thickBot="1" x14ac:dyDescent="0.25">
      <c r="A40" s="98" t="s">
        <v>154</v>
      </c>
      <c r="B40" s="98" t="s">
        <v>34</v>
      </c>
      <c r="C40" s="98"/>
      <c r="D40" s="98"/>
      <c r="E40" s="98"/>
      <c r="F40" s="98"/>
      <c r="G40" s="106">
        <v>150</v>
      </c>
      <c r="H40" s="105"/>
      <c r="I40" s="105"/>
      <c r="J40" s="105"/>
      <c r="K40" s="105"/>
      <c r="L40" s="105"/>
      <c r="M40" s="104"/>
      <c r="N40" s="102" t="s">
        <v>28</v>
      </c>
      <c r="O40" s="98"/>
    </row>
    <row r="41" spans="1:15" ht="16" thickBot="1" x14ac:dyDescent="0.25">
      <c r="A41" s="98"/>
      <c r="B41" s="98"/>
      <c r="C41" s="98"/>
      <c r="D41" s="98"/>
      <c r="E41" s="98"/>
      <c r="F41" s="98"/>
      <c r="G41" s="102"/>
      <c r="H41" s="102"/>
      <c r="I41" s="102"/>
      <c r="J41" s="102"/>
      <c r="K41" s="102"/>
      <c r="L41" s="102"/>
      <c r="M41" s="102"/>
      <c r="N41" s="102"/>
      <c r="O41" s="98"/>
    </row>
    <row r="42" spans="1:15" ht="17" thickBot="1" x14ac:dyDescent="0.25">
      <c r="A42" s="98" t="s">
        <v>153</v>
      </c>
      <c r="B42" s="108" t="s">
        <v>152</v>
      </c>
      <c r="C42" s="108"/>
      <c r="D42" s="108"/>
      <c r="E42" s="108"/>
      <c r="F42" s="108"/>
      <c r="G42" s="108"/>
      <c r="H42" s="108"/>
      <c r="I42" s="108"/>
      <c r="J42" s="108"/>
      <c r="K42" s="109"/>
      <c r="L42" s="106">
        <v>200</v>
      </c>
      <c r="M42" s="104"/>
      <c r="N42" s="103" t="s">
        <v>150</v>
      </c>
      <c r="O42" s="98"/>
    </row>
    <row r="43" spans="1:15" ht="16" thickBot="1" x14ac:dyDescent="0.25">
      <c r="A43" s="98"/>
      <c r="B43" s="108" t="s">
        <v>151</v>
      </c>
      <c r="C43" s="108"/>
      <c r="D43" s="108"/>
      <c r="E43" s="108"/>
      <c r="F43" s="108"/>
      <c r="G43" s="108"/>
      <c r="H43" s="108"/>
      <c r="I43" s="108"/>
      <c r="J43" s="108"/>
      <c r="K43" s="108"/>
      <c r="L43" s="106">
        <v>160</v>
      </c>
      <c r="M43" s="104"/>
      <c r="N43" s="103" t="s">
        <v>150</v>
      </c>
      <c r="O43" s="98"/>
    </row>
    <row r="44" spans="1:15" ht="16" x14ac:dyDescent="0.2">
      <c r="A44" s="98"/>
      <c r="B44" s="108" t="s">
        <v>149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2"/>
      <c r="M44" s="102"/>
      <c r="N44" s="102"/>
      <c r="O44" s="98"/>
    </row>
    <row r="45" spans="1:15" ht="16" thickBot="1" x14ac:dyDescent="0.25">
      <c r="A45" s="98" t="s">
        <v>148</v>
      </c>
      <c r="B45" s="98" t="s">
        <v>147</v>
      </c>
      <c r="C45" s="98"/>
      <c r="D45" s="98"/>
      <c r="E45" s="98"/>
      <c r="F45" s="98"/>
      <c r="G45" s="102"/>
      <c r="H45" s="102"/>
      <c r="I45" s="102"/>
      <c r="J45" s="102"/>
      <c r="K45" s="102"/>
      <c r="L45" s="102"/>
      <c r="M45" s="102"/>
      <c r="N45" s="102"/>
      <c r="O45" s="98"/>
    </row>
    <row r="46" spans="1:15" ht="16" thickBot="1" x14ac:dyDescent="0.25">
      <c r="A46" s="98"/>
      <c r="B46" s="98"/>
      <c r="C46" s="107" t="s">
        <v>146</v>
      </c>
      <c r="D46" s="98"/>
      <c r="E46" s="98"/>
      <c r="F46" s="98"/>
      <c r="G46" s="106">
        <v>10</v>
      </c>
      <c r="H46" s="105"/>
      <c r="I46" s="105"/>
      <c r="J46" s="105"/>
      <c r="K46" s="105"/>
      <c r="L46" s="104"/>
      <c r="M46" s="98" t="s">
        <v>144</v>
      </c>
      <c r="N46" s="98"/>
      <c r="O46" s="98"/>
    </row>
    <row r="47" spans="1:15" ht="16" thickBot="1" x14ac:dyDescent="0.25">
      <c r="A47" s="98"/>
      <c r="B47" s="98"/>
      <c r="C47" s="107" t="s">
        <v>145</v>
      </c>
      <c r="D47" s="98"/>
      <c r="E47" s="98"/>
      <c r="F47" s="98"/>
      <c r="G47" s="106">
        <v>10</v>
      </c>
      <c r="H47" s="105"/>
      <c r="I47" s="105"/>
      <c r="J47" s="105"/>
      <c r="K47" s="105"/>
      <c r="L47" s="104"/>
      <c r="M47" s="98" t="s">
        <v>144</v>
      </c>
      <c r="N47" s="102"/>
      <c r="O47" s="98"/>
    </row>
    <row r="48" spans="1:15" ht="16" thickBot="1" x14ac:dyDescent="0.25">
      <c r="A48" s="98" t="s">
        <v>143</v>
      </c>
      <c r="B48" s="98" t="s">
        <v>142</v>
      </c>
      <c r="C48" s="98"/>
      <c r="D48" s="98"/>
      <c r="E48" s="98"/>
      <c r="F48" s="98"/>
      <c r="G48" s="106">
        <v>0.52400000000000002</v>
      </c>
      <c r="H48" s="105"/>
      <c r="I48" s="105"/>
      <c r="J48" s="105"/>
      <c r="K48" s="105"/>
      <c r="L48" s="104"/>
      <c r="M48" s="98" t="s">
        <v>141</v>
      </c>
      <c r="N48" s="102"/>
      <c r="O48" s="98"/>
    </row>
    <row r="49" spans="1:15" ht="16" thickBot="1" x14ac:dyDescent="0.25">
      <c r="A49" s="98" t="s">
        <v>140</v>
      </c>
      <c r="B49" s="98" t="s">
        <v>139</v>
      </c>
      <c r="C49" s="98"/>
      <c r="D49" s="98"/>
      <c r="E49" s="98"/>
      <c r="F49" s="98"/>
      <c r="G49" s="106">
        <v>500</v>
      </c>
      <c r="H49" s="105"/>
      <c r="I49" s="105"/>
      <c r="J49" s="105"/>
      <c r="K49" s="105"/>
      <c r="L49" s="104"/>
      <c r="M49" s="103" t="s">
        <v>138</v>
      </c>
      <c r="N49" s="102"/>
      <c r="O49" s="98"/>
    </row>
    <row r="50" spans="1:15" x14ac:dyDescent="0.2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98"/>
    </row>
    <row r="51" spans="1:15" x14ac:dyDescent="0.2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</row>
    <row r="52" spans="1:15" x14ac:dyDescent="0.2">
      <c r="A52" s="100" t="s">
        <v>82</v>
      </c>
      <c r="B52" s="100"/>
      <c r="C52" s="99" t="s">
        <v>137</v>
      </c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8"/>
    </row>
    <row r="53" spans="1:15" x14ac:dyDescent="0.2">
      <c r="A53" s="100" t="s">
        <v>79</v>
      </c>
      <c r="B53" s="100"/>
      <c r="C53" s="99" t="s">
        <v>136</v>
      </c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8"/>
    </row>
    <row r="54" spans="1: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</sheetData>
  <mergeCells count="37">
    <mergeCell ref="A1:N1"/>
    <mergeCell ref="M2:N2"/>
    <mergeCell ref="M3:N3"/>
    <mergeCell ref="K6:N6"/>
    <mergeCell ref="C7:D7"/>
    <mergeCell ref="J7:N7"/>
    <mergeCell ref="G11:M11"/>
    <mergeCell ref="G12:M12"/>
    <mergeCell ref="G14:M14"/>
    <mergeCell ref="G16:M16"/>
    <mergeCell ref="G18:N18"/>
    <mergeCell ref="G20:L20"/>
    <mergeCell ref="G21:L21"/>
    <mergeCell ref="G22:L22"/>
    <mergeCell ref="G23:L23"/>
    <mergeCell ref="G24:L24"/>
    <mergeCell ref="G28:K28"/>
    <mergeCell ref="G29:K29"/>
    <mergeCell ref="G30:K30"/>
    <mergeCell ref="B32:F32"/>
    <mergeCell ref="G34:K34"/>
    <mergeCell ref="G35:K35"/>
    <mergeCell ref="G36:K36"/>
    <mergeCell ref="G40:M40"/>
    <mergeCell ref="B42:K42"/>
    <mergeCell ref="L42:M42"/>
    <mergeCell ref="B43:K43"/>
    <mergeCell ref="L43:M43"/>
    <mergeCell ref="B44:K44"/>
    <mergeCell ref="G46:L46"/>
    <mergeCell ref="G47:L47"/>
    <mergeCell ref="G48:L48"/>
    <mergeCell ref="G49:L49"/>
    <mergeCell ref="A52:B52"/>
    <mergeCell ref="C52:N52"/>
    <mergeCell ref="A53:B53"/>
    <mergeCell ref="C53:N53"/>
  </mergeCells>
  <conditionalFormatting sqref="A1 O1:O3 A2:M3 A4:O24 A25:F25 M25:O25 A27:F27 M27:O27 A28:O30 N31:O31 A31:F33 N33:O33 A34:O36 A38:O51 A52:A53 A54:O54 A55:A56 C55:O56">
    <cfRule type="expression" dxfId="110" priority="6">
      <formula>CELL("protect", INDIRECT(ADDRESS(ROW(), COLUMN())))=0</formula>
    </cfRule>
  </conditionalFormatting>
  <conditionalFormatting sqref="A26:B26">
    <cfRule type="expression" dxfId="109" priority="2">
      <formula>CELL("protect", INDIRECT(ADDRESS(ROW(), COLUMN())))=0</formula>
    </cfRule>
  </conditionalFormatting>
  <conditionalFormatting sqref="C52:O53">
    <cfRule type="expression" dxfId="108" priority="3">
      <formula>CELL("protect", INDIRECT(ADDRESS(ROW(), COLUMN())))=0</formula>
    </cfRule>
  </conditionalFormatting>
  <conditionalFormatting sqref="G18">
    <cfRule type="expression" dxfId="107" priority="5">
      <formula>CELL("protect", INDIRECT(ADDRESS(ROW(), COLUMN())))=0</formula>
    </cfRule>
  </conditionalFormatting>
  <conditionalFormatting sqref="G26:O26">
    <cfRule type="expression" dxfId="106" priority="1">
      <formula>CELL("protect", INDIRECT(ADDRESS(ROW(), COLUMN())))=0</formula>
    </cfRule>
  </conditionalFormatting>
  <conditionalFormatting sqref="G32:O32">
    <cfRule type="expression" dxfId="105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8AE8B04D-DFB3-2A4C-B347-7088CD57E644}">
      <formula1>$B$63:$B$66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5671-F3B0-A04B-B3DE-D29BCCF8EDFC}">
  <dimension ref="A1:AB73"/>
  <sheetViews>
    <sheetView workbookViewId="0">
      <selection activeCell="AE38" sqref="AE38"/>
    </sheetView>
  </sheetViews>
  <sheetFormatPr baseColWidth="10" defaultColWidth="8.83203125" defaultRowHeight="16" x14ac:dyDescent="0.2"/>
  <cols>
    <col min="1" max="1" width="2.33203125" style="128" customWidth="1"/>
    <col min="2" max="4" width="8.83203125" style="128"/>
    <col min="5" max="5" width="4.5" style="128" customWidth="1"/>
    <col min="6" max="6" width="24.33203125" style="128" customWidth="1"/>
    <col min="7" max="7" width="4.5" style="128" customWidth="1"/>
    <col min="8" max="8" width="2.83203125" style="128" customWidth="1"/>
    <col min="9" max="10" width="1.1640625" style="128" customWidth="1"/>
    <col min="11" max="11" width="14" style="128" customWidth="1"/>
    <col min="12" max="12" width="3.5" style="128" customWidth="1"/>
    <col min="13" max="13" width="1.1640625" style="128" customWidth="1"/>
    <col min="14" max="14" width="10" style="128" customWidth="1"/>
    <col min="15" max="15" width="1.33203125" style="128" customWidth="1"/>
    <col min="16" max="16" width="10" style="128" customWidth="1"/>
    <col min="17" max="17" width="1.1640625" style="128" customWidth="1"/>
    <col min="18" max="18" width="3" style="128" customWidth="1"/>
    <col min="19" max="19" width="2.1640625" style="128" customWidth="1"/>
    <col min="20" max="20" width="12.1640625" style="128" customWidth="1"/>
    <col min="21" max="21" width="4.1640625" style="128" customWidth="1"/>
    <col min="22" max="22" width="4" style="128" customWidth="1"/>
    <col min="23" max="16384" width="8.83203125" style="128"/>
  </cols>
  <sheetData>
    <row r="1" spans="1:22" ht="6" customHeight="1" x14ac:dyDescent="0.2">
      <c r="R1" s="128" t="s">
        <v>220</v>
      </c>
    </row>
    <row r="2" spans="1:22" ht="23" customHeight="1" x14ac:dyDescent="0.2">
      <c r="A2" s="184" t="s">
        <v>219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2" ht="15" customHeight="1" x14ac:dyDescent="0.2">
      <c r="P3" s="183" t="s">
        <v>218</v>
      </c>
      <c r="Q3" s="143"/>
      <c r="R3" s="143"/>
      <c r="S3" s="143"/>
      <c r="T3" s="143"/>
      <c r="U3" s="143"/>
      <c r="V3" s="143"/>
    </row>
    <row r="4" spans="1:22" ht="15" customHeight="1" x14ac:dyDescent="0.2">
      <c r="T4" s="182" t="s">
        <v>217</v>
      </c>
      <c r="U4" s="143"/>
      <c r="V4" s="143"/>
    </row>
    <row r="5" spans="1:22" ht="15" customHeight="1" x14ac:dyDescent="0.2">
      <c r="T5" s="181"/>
    </row>
    <row r="6" spans="1:22" x14ac:dyDescent="0.2">
      <c r="A6" s="166" t="s">
        <v>61</v>
      </c>
      <c r="H6" s="166"/>
      <c r="S6" s="144"/>
      <c r="T6" s="143"/>
      <c r="U6" s="143"/>
    </row>
    <row r="7" spans="1:22" ht="5" customHeight="1" thickBot="1" x14ac:dyDescent="0.25">
      <c r="A7" s="166"/>
      <c r="H7" s="166"/>
      <c r="S7" s="145"/>
      <c r="T7" s="145"/>
      <c r="U7" s="145"/>
    </row>
    <row r="8" spans="1:22" x14ac:dyDescent="0.2">
      <c r="A8" s="166" t="s">
        <v>60</v>
      </c>
      <c r="F8" s="180" t="s">
        <v>59</v>
      </c>
      <c r="H8" s="166" t="s">
        <v>58</v>
      </c>
      <c r="L8" s="175" t="s">
        <v>216</v>
      </c>
      <c r="M8" s="174"/>
      <c r="N8" s="174"/>
      <c r="O8" s="174"/>
      <c r="P8" s="174"/>
      <c r="Q8" s="174"/>
      <c r="R8" s="174"/>
      <c r="S8" s="174"/>
      <c r="T8" s="174"/>
      <c r="U8" s="173"/>
    </row>
    <row r="9" spans="1:22" ht="16.25" customHeight="1" x14ac:dyDescent="0.2">
      <c r="A9" s="166"/>
      <c r="F9" s="179"/>
      <c r="H9" s="166"/>
      <c r="L9" s="169"/>
      <c r="M9" s="168"/>
      <c r="N9" s="168"/>
      <c r="O9" s="168"/>
      <c r="P9" s="168"/>
      <c r="Q9" s="168"/>
      <c r="R9" s="168"/>
      <c r="S9" s="168"/>
      <c r="T9" s="168"/>
      <c r="U9" s="167"/>
    </row>
    <row r="10" spans="1:22" ht="5" customHeight="1" thickBot="1" x14ac:dyDescent="0.25"/>
    <row r="11" spans="1:22" x14ac:dyDescent="0.2">
      <c r="A11" s="166" t="s">
        <v>56</v>
      </c>
      <c r="C11" s="178" t="s">
        <v>225</v>
      </c>
      <c r="D11" s="177"/>
      <c r="E11" s="177"/>
      <c r="F11" s="176"/>
      <c r="H11" s="166" t="s">
        <v>54</v>
      </c>
      <c r="L11" s="175" t="s">
        <v>215</v>
      </c>
      <c r="M11" s="174"/>
      <c r="N11" s="174"/>
      <c r="O11" s="174"/>
      <c r="P11" s="174"/>
      <c r="Q11" s="174"/>
      <c r="R11" s="174"/>
      <c r="S11" s="174"/>
      <c r="T11" s="174"/>
      <c r="U11" s="173"/>
    </row>
    <row r="12" spans="1:22" ht="16.25" customHeight="1" x14ac:dyDescent="0.2">
      <c r="A12" s="166"/>
      <c r="C12" s="172"/>
      <c r="D12" s="171"/>
      <c r="E12" s="171"/>
      <c r="F12" s="170"/>
      <c r="H12" s="166"/>
      <c r="L12" s="169"/>
      <c r="M12" s="168"/>
      <c r="N12" s="168"/>
      <c r="O12" s="168"/>
      <c r="P12" s="168"/>
      <c r="Q12" s="168"/>
      <c r="R12" s="168"/>
      <c r="S12" s="168"/>
      <c r="T12" s="168"/>
      <c r="U12" s="167"/>
    </row>
    <row r="13" spans="1:22" x14ac:dyDescent="0.2">
      <c r="A13" s="166"/>
    </row>
    <row r="14" spans="1:22" ht="39.5" customHeight="1" thickBot="1" x14ac:dyDescent="0.25">
      <c r="A14" s="137" t="s">
        <v>52</v>
      </c>
      <c r="B14" s="135" t="s">
        <v>214</v>
      </c>
      <c r="C14" s="135"/>
      <c r="D14" s="135"/>
      <c r="E14" s="135"/>
      <c r="F14" s="135"/>
      <c r="G14" s="135"/>
      <c r="H14" s="165" t="s">
        <v>213</v>
      </c>
      <c r="I14" s="143"/>
      <c r="J14" s="143"/>
      <c r="K14" s="143"/>
      <c r="L14" s="143"/>
      <c r="M14" s="164"/>
      <c r="N14" s="155" t="s">
        <v>212</v>
      </c>
      <c r="O14" s="154"/>
      <c r="P14" s="154"/>
      <c r="Q14" s="164"/>
      <c r="R14" s="163" t="s">
        <v>211</v>
      </c>
      <c r="S14" s="143"/>
      <c r="T14" s="143"/>
      <c r="U14" s="143"/>
    </row>
    <row r="15" spans="1:22" ht="15" customHeight="1" thickBot="1" x14ac:dyDescent="0.25">
      <c r="A15" s="137"/>
      <c r="B15" s="136"/>
      <c r="C15" s="136" t="s">
        <v>203</v>
      </c>
      <c r="D15" s="135"/>
      <c r="E15" s="135"/>
      <c r="H15" s="150" t="s">
        <v>224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2"/>
    </row>
    <row r="16" spans="1:22" ht="16.25" customHeight="1" thickBot="1" x14ac:dyDescent="0.25">
      <c r="A16" s="137"/>
      <c r="B16" s="136"/>
      <c r="C16" s="136" t="s">
        <v>201</v>
      </c>
      <c r="D16" s="135"/>
      <c r="E16" s="135"/>
      <c r="H16" s="151" t="s">
        <v>200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2"/>
    </row>
    <row r="17" spans="1:28" ht="3.5" customHeight="1" thickBot="1" x14ac:dyDescent="0.25">
      <c r="A17" s="137"/>
      <c r="B17" s="136"/>
      <c r="C17" s="136"/>
      <c r="D17" s="135"/>
      <c r="E17" s="135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spans="1:28" ht="47.5" customHeight="1" thickBot="1" x14ac:dyDescent="0.25">
      <c r="A18" s="137"/>
      <c r="B18" s="136"/>
      <c r="C18" s="136" t="s">
        <v>199</v>
      </c>
      <c r="D18" s="135"/>
      <c r="E18" s="135"/>
      <c r="F18" s="135"/>
      <c r="G18" s="135"/>
      <c r="H18" s="140" t="s">
        <v>196</v>
      </c>
      <c r="I18" s="133"/>
      <c r="J18" s="133"/>
      <c r="K18" s="133"/>
      <c r="L18" s="139"/>
      <c r="M18" s="161"/>
      <c r="N18" s="162" t="s">
        <v>195</v>
      </c>
      <c r="O18" s="133"/>
      <c r="P18" s="132"/>
      <c r="Q18" s="161"/>
      <c r="R18" s="140"/>
      <c r="S18" s="133"/>
      <c r="T18" s="133"/>
      <c r="U18" s="139"/>
    </row>
    <row r="19" spans="1:28" ht="15" customHeight="1" thickBot="1" x14ac:dyDescent="0.25">
      <c r="A19" s="137"/>
      <c r="B19" s="136"/>
      <c r="C19" s="136"/>
      <c r="D19" s="135"/>
      <c r="E19" s="135"/>
      <c r="F19" s="135"/>
      <c r="G19" s="135"/>
      <c r="H19" s="160" t="s">
        <v>23</v>
      </c>
      <c r="I19" s="159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</row>
    <row r="20" spans="1:28" ht="53.5" customHeight="1" thickBot="1" x14ac:dyDescent="0.25">
      <c r="A20" s="137"/>
      <c r="B20" s="136"/>
      <c r="C20" s="136"/>
      <c r="D20" s="135"/>
      <c r="E20" s="135"/>
      <c r="F20" s="135"/>
      <c r="G20" s="135"/>
      <c r="H20" s="134"/>
      <c r="I20" s="133"/>
      <c r="J20" s="133"/>
      <c r="K20" s="133"/>
      <c r="L20" s="132"/>
      <c r="M20" s="135"/>
      <c r="N20" s="158"/>
      <c r="O20" s="133"/>
      <c r="P20" s="132"/>
      <c r="Q20" s="135"/>
      <c r="R20" s="134" t="s">
        <v>223</v>
      </c>
      <c r="S20" s="133"/>
      <c r="T20" s="133"/>
      <c r="U20" s="132"/>
      <c r="AB20" s="157"/>
    </row>
    <row r="21" spans="1:28" ht="6" customHeight="1" x14ac:dyDescent="0.2">
      <c r="A21" s="137"/>
      <c r="B21" s="136"/>
      <c r="C21" s="136"/>
      <c r="D21" s="135"/>
      <c r="E21" s="13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</row>
    <row r="22" spans="1:28" ht="22.25" customHeight="1" thickBot="1" x14ac:dyDescent="0.25">
      <c r="A22" s="137" t="s">
        <v>45</v>
      </c>
      <c r="B22" s="135" t="s">
        <v>210</v>
      </c>
      <c r="C22" s="135"/>
      <c r="D22" s="135"/>
      <c r="E22" s="135"/>
      <c r="H22" s="155" t="s">
        <v>209</v>
      </c>
      <c r="I22" s="154"/>
      <c r="J22" s="154"/>
      <c r="K22" s="154"/>
      <c r="L22" s="154"/>
      <c r="M22" s="154"/>
      <c r="N22" s="154"/>
      <c r="O22" s="156"/>
      <c r="P22" s="155" t="s">
        <v>208</v>
      </c>
      <c r="Q22" s="154"/>
      <c r="R22" s="154"/>
      <c r="S22" s="154"/>
      <c r="T22" s="154"/>
      <c r="U22" s="154"/>
    </row>
    <row r="23" spans="1:28" ht="16.25" customHeight="1" thickBot="1" x14ac:dyDescent="0.25">
      <c r="A23" s="137"/>
      <c r="B23" s="136"/>
      <c r="C23" s="136" t="s">
        <v>203</v>
      </c>
      <c r="D23" s="135"/>
      <c r="E23" s="135"/>
      <c r="H23" s="152" t="s">
        <v>205</v>
      </c>
      <c r="I23" s="133"/>
      <c r="J23" s="133"/>
      <c r="K23" s="133"/>
      <c r="L23" s="133"/>
      <c r="M23" s="133"/>
      <c r="N23" s="132"/>
      <c r="P23" s="151" t="s">
        <v>202</v>
      </c>
      <c r="Q23" s="133"/>
      <c r="R23" s="133"/>
      <c r="S23" s="133"/>
      <c r="T23" s="133"/>
      <c r="U23" s="132"/>
    </row>
    <row r="24" spans="1:28" ht="16.25" customHeight="1" thickBot="1" x14ac:dyDescent="0.25">
      <c r="A24" s="137"/>
      <c r="B24" s="136"/>
      <c r="C24" s="136" t="s">
        <v>201</v>
      </c>
      <c r="D24" s="135"/>
      <c r="E24" s="135"/>
      <c r="H24" s="152" t="s">
        <v>184</v>
      </c>
      <c r="I24" s="133"/>
      <c r="J24" s="133"/>
      <c r="K24" s="133"/>
      <c r="L24" s="133"/>
      <c r="M24" s="133"/>
      <c r="N24" s="132"/>
      <c r="P24" s="151" t="s">
        <v>184</v>
      </c>
      <c r="Q24" s="133"/>
      <c r="R24" s="133"/>
      <c r="S24" s="133"/>
      <c r="T24" s="133"/>
      <c r="U24" s="132"/>
    </row>
    <row r="25" spans="1:28" ht="35" customHeight="1" thickBot="1" x14ac:dyDescent="0.25">
      <c r="A25" s="137"/>
      <c r="B25" s="136"/>
      <c r="C25" s="136" t="s">
        <v>199</v>
      </c>
      <c r="D25" s="135"/>
      <c r="E25" s="135"/>
      <c r="H25" s="153" t="s">
        <v>194</v>
      </c>
      <c r="I25" s="133"/>
      <c r="J25" s="133"/>
      <c r="K25" s="133"/>
      <c r="L25" s="133"/>
      <c r="M25" s="133"/>
      <c r="N25" s="132"/>
      <c r="P25" s="153" t="s">
        <v>196</v>
      </c>
      <c r="Q25" s="133"/>
      <c r="R25" s="133"/>
      <c r="S25" s="133"/>
      <c r="T25" s="133"/>
      <c r="U25" s="132"/>
    </row>
    <row r="26" spans="1:28" ht="16.25" customHeight="1" thickBot="1" x14ac:dyDescent="0.25">
      <c r="A26" s="137"/>
      <c r="B26" s="136"/>
      <c r="C26" s="136"/>
      <c r="D26" s="135"/>
      <c r="E26" s="135"/>
      <c r="H26" s="138" t="s">
        <v>23</v>
      </c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</row>
    <row r="27" spans="1:28" ht="41.5" customHeight="1" thickBot="1" x14ac:dyDescent="0.25">
      <c r="A27" s="137"/>
      <c r="B27" s="136"/>
      <c r="C27" s="136"/>
      <c r="D27" s="135"/>
      <c r="E27" s="135"/>
      <c r="H27" s="152"/>
      <c r="I27" s="133"/>
      <c r="J27" s="133"/>
      <c r="K27" s="133"/>
      <c r="L27" s="133"/>
      <c r="M27" s="133"/>
      <c r="N27" s="132"/>
      <c r="P27" s="151"/>
      <c r="Q27" s="133"/>
      <c r="R27" s="133"/>
      <c r="S27" s="133"/>
      <c r="T27" s="133"/>
      <c r="U27" s="132"/>
    </row>
    <row r="28" spans="1:28" ht="6" customHeight="1" x14ac:dyDescent="0.2">
      <c r="A28" s="137"/>
      <c r="B28" s="136"/>
      <c r="C28" s="136"/>
      <c r="D28" s="135"/>
      <c r="E28" s="135"/>
      <c r="U28" s="145"/>
    </row>
    <row r="29" spans="1:28" ht="14.5" customHeight="1" thickBot="1" x14ac:dyDescent="0.25">
      <c r="A29" s="137" t="s">
        <v>42</v>
      </c>
      <c r="B29" s="135" t="s">
        <v>207</v>
      </c>
      <c r="C29" s="135"/>
      <c r="D29" s="135"/>
      <c r="E29" s="135"/>
      <c r="K29" s="144"/>
      <c r="L29" s="143"/>
      <c r="M29" s="145"/>
      <c r="N29" s="145"/>
      <c r="O29" s="145"/>
      <c r="P29" s="145"/>
      <c r="Q29" s="145"/>
      <c r="S29" s="144"/>
      <c r="T29" s="143"/>
    </row>
    <row r="30" spans="1:28" ht="15" customHeight="1" thickBot="1" x14ac:dyDescent="0.25">
      <c r="A30" s="137"/>
      <c r="B30" s="136"/>
      <c r="C30" s="136" t="s">
        <v>203</v>
      </c>
      <c r="D30" s="135"/>
      <c r="E30" s="135"/>
      <c r="H30" s="142" t="s">
        <v>202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9"/>
    </row>
    <row r="31" spans="1:28" ht="16.25" customHeight="1" thickBot="1" x14ac:dyDescent="0.25">
      <c r="A31" s="137"/>
      <c r="B31" s="136"/>
      <c r="C31" s="136" t="s">
        <v>201</v>
      </c>
      <c r="D31" s="135"/>
      <c r="E31" s="135"/>
      <c r="H31" s="142" t="s">
        <v>184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9"/>
    </row>
    <row r="32" spans="1:28" ht="18.5" customHeight="1" thickBot="1" x14ac:dyDescent="0.25">
      <c r="A32" s="137"/>
      <c r="B32" s="136"/>
      <c r="C32" s="136" t="s">
        <v>199</v>
      </c>
      <c r="D32" s="141"/>
      <c r="E32" s="141"/>
      <c r="F32" s="141"/>
      <c r="G32" s="141"/>
      <c r="H32" s="140" t="s">
        <v>192</v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9"/>
    </row>
    <row r="33" spans="1:21" ht="16.25" customHeight="1" thickBot="1" x14ac:dyDescent="0.25">
      <c r="A33" s="137"/>
      <c r="B33" s="136"/>
      <c r="C33" s="136"/>
      <c r="D33" s="135"/>
      <c r="E33" s="135"/>
      <c r="H33" s="138" t="s">
        <v>23</v>
      </c>
      <c r="I33" s="138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31"/>
      <c r="U33" s="131"/>
    </row>
    <row r="34" spans="1:21" ht="53.5" customHeight="1" thickBot="1" x14ac:dyDescent="0.25">
      <c r="A34" s="137"/>
      <c r="B34" s="136"/>
      <c r="C34" s="136"/>
      <c r="D34" s="135"/>
      <c r="E34" s="135"/>
      <c r="H34" s="134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2"/>
    </row>
    <row r="35" spans="1:21" ht="6" customHeight="1" x14ac:dyDescent="0.2">
      <c r="A35" s="137"/>
      <c r="B35" s="136"/>
      <c r="C35" s="136"/>
      <c r="D35" s="135"/>
      <c r="E35" s="135"/>
      <c r="U35" s="145"/>
    </row>
    <row r="36" spans="1:21" ht="14.5" customHeight="1" thickBot="1" x14ac:dyDescent="0.25">
      <c r="A36" s="137" t="s">
        <v>40</v>
      </c>
      <c r="B36" s="135" t="s">
        <v>206</v>
      </c>
      <c r="C36" s="135"/>
      <c r="D36" s="135"/>
      <c r="E36" s="135"/>
      <c r="K36" s="144"/>
      <c r="L36" s="143"/>
      <c r="M36" s="145"/>
      <c r="N36" s="145"/>
      <c r="O36" s="145"/>
      <c r="P36" s="145"/>
      <c r="Q36" s="145"/>
      <c r="S36" s="144"/>
      <c r="T36" s="143"/>
    </row>
    <row r="37" spans="1:21" ht="15" customHeight="1" thickBot="1" x14ac:dyDescent="0.25">
      <c r="A37" s="137"/>
      <c r="B37" s="136"/>
      <c r="C37" s="136" t="s">
        <v>203</v>
      </c>
      <c r="D37" s="135"/>
      <c r="E37" s="135"/>
      <c r="H37" s="150" t="s">
        <v>205</v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2"/>
    </row>
    <row r="38" spans="1:21" ht="16.25" customHeight="1" thickBot="1" x14ac:dyDescent="0.25">
      <c r="A38" s="137"/>
      <c r="B38" s="136"/>
      <c r="C38" s="136" t="s">
        <v>201</v>
      </c>
      <c r="D38" s="135"/>
      <c r="E38" s="135"/>
      <c r="H38" s="149" t="s">
        <v>184</v>
      </c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6"/>
    </row>
    <row r="39" spans="1:21" ht="19.25" customHeight="1" thickBot="1" x14ac:dyDescent="0.25">
      <c r="A39" s="137"/>
      <c r="B39" s="136"/>
      <c r="C39" s="136" t="s">
        <v>199</v>
      </c>
      <c r="D39" s="141"/>
      <c r="E39" s="141"/>
      <c r="F39" s="141"/>
      <c r="G39" s="141"/>
      <c r="H39" s="148" t="s">
        <v>11</v>
      </c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6"/>
    </row>
    <row r="40" spans="1:21" ht="16.25" customHeight="1" thickBot="1" x14ac:dyDescent="0.25">
      <c r="A40" s="137"/>
      <c r="B40" s="136"/>
      <c r="C40" s="136"/>
      <c r="D40" s="135"/>
      <c r="E40" s="135"/>
      <c r="H40" s="138" t="s">
        <v>23</v>
      </c>
      <c r="I40" s="138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31"/>
      <c r="U40" s="131"/>
    </row>
    <row r="41" spans="1:21" ht="53.5" customHeight="1" thickBot="1" x14ac:dyDescent="0.25">
      <c r="A41" s="137"/>
      <c r="B41" s="136"/>
      <c r="C41" s="136"/>
      <c r="D41" s="135"/>
      <c r="E41" s="135"/>
      <c r="H41" s="134" t="s">
        <v>222</v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2"/>
    </row>
    <row r="42" spans="1:21" ht="6" customHeight="1" x14ac:dyDescent="0.2">
      <c r="A42" s="137"/>
      <c r="B42" s="136"/>
      <c r="C42" s="136"/>
      <c r="D42" s="135"/>
      <c r="E42" s="135"/>
      <c r="U42" s="145"/>
    </row>
    <row r="43" spans="1:21" ht="14.5" customHeight="1" thickBot="1" x14ac:dyDescent="0.25">
      <c r="A43" s="137" t="s">
        <v>37</v>
      </c>
      <c r="B43" s="135" t="s">
        <v>204</v>
      </c>
      <c r="C43" s="135"/>
      <c r="D43" s="135"/>
      <c r="E43" s="135"/>
      <c r="K43" s="144"/>
      <c r="L43" s="143"/>
      <c r="M43" s="145"/>
      <c r="N43" s="145"/>
      <c r="O43" s="145"/>
      <c r="P43" s="145"/>
      <c r="Q43" s="145"/>
      <c r="S43" s="144"/>
      <c r="T43" s="143"/>
    </row>
    <row r="44" spans="1:21" ht="15" customHeight="1" thickBot="1" x14ac:dyDescent="0.25">
      <c r="A44" s="137"/>
      <c r="B44" s="136"/>
      <c r="C44" s="136" t="s">
        <v>203</v>
      </c>
      <c r="D44" s="135"/>
      <c r="E44" s="135"/>
      <c r="H44" s="142" t="s">
        <v>202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9"/>
    </row>
    <row r="45" spans="1:21" ht="16.25" customHeight="1" thickBot="1" x14ac:dyDescent="0.25">
      <c r="A45" s="137"/>
      <c r="B45" s="136"/>
      <c r="C45" s="136" t="s">
        <v>201</v>
      </c>
      <c r="D45" s="135"/>
      <c r="E45" s="135"/>
      <c r="H45" s="142" t="s">
        <v>221</v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9"/>
    </row>
    <row r="46" spans="1:21" ht="19.25" customHeight="1" thickBot="1" x14ac:dyDescent="0.25">
      <c r="A46" s="137"/>
      <c r="B46" s="136"/>
      <c r="C46" s="136" t="s">
        <v>199</v>
      </c>
      <c r="D46" s="141"/>
      <c r="E46" s="141"/>
      <c r="F46" s="141"/>
      <c r="G46" s="141"/>
      <c r="H46" s="140" t="s">
        <v>193</v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9"/>
    </row>
    <row r="47" spans="1:21" ht="16.25" customHeight="1" thickBot="1" x14ac:dyDescent="0.25">
      <c r="A47" s="137"/>
      <c r="B47" s="136"/>
      <c r="C47" s="136"/>
      <c r="D47" s="135"/>
      <c r="E47" s="135"/>
      <c r="H47" s="138" t="s">
        <v>23</v>
      </c>
      <c r="I47" s="138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31"/>
      <c r="U47" s="131"/>
    </row>
    <row r="48" spans="1:21" ht="53.5" customHeight="1" thickBot="1" x14ac:dyDescent="0.25">
      <c r="A48" s="137"/>
      <c r="B48" s="136"/>
      <c r="C48" s="136"/>
      <c r="D48" s="135"/>
      <c r="E48" s="135"/>
      <c r="H48" s="134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2"/>
    </row>
    <row r="49" spans="1:25" x14ac:dyDescent="0.2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</row>
    <row r="50" spans="1:25" x14ac:dyDescent="0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</row>
    <row r="51" spans="1:25" ht="27" customHeight="1" x14ac:dyDescent="0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</row>
    <row r="52" spans="1:25" hidden="1" x14ac:dyDescent="0.2"/>
    <row r="53" spans="1:25" hidden="1" x14ac:dyDescent="0.2">
      <c r="B53" s="131" t="s">
        <v>198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 t="s">
        <v>197</v>
      </c>
      <c r="W53" s="131"/>
      <c r="X53" s="131"/>
      <c r="Y53" s="131"/>
    </row>
    <row r="54" spans="1:25" hidden="1" x14ac:dyDescent="0.2"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</row>
    <row r="55" spans="1:25" hidden="1" x14ac:dyDescent="0.2"/>
    <row r="56" spans="1:25" ht="18.5" hidden="1" customHeight="1" x14ac:dyDescent="0.2">
      <c r="B56" s="130" t="s">
        <v>196</v>
      </c>
    </row>
    <row r="57" spans="1:25" hidden="1" x14ac:dyDescent="0.2">
      <c r="B57" s="129" t="s">
        <v>11</v>
      </c>
    </row>
    <row r="58" spans="1:25" hidden="1" x14ac:dyDescent="0.2"/>
    <row r="59" spans="1:25" hidden="1" x14ac:dyDescent="0.2">
      <c r="B59" s="130" t="s">
        <v>195</v>
      </c>
    </row>
    <row r="60" spans="1:25" hidden="1" x14ac:dyDescent="0.2">
      <c r="B60" s="129" t="s">
        <v>11</v>
      </c>
    </row>
    <row r="61" spans="1:25" hidden="1" x14ac:dyDescent="0.2"/>
    <row r="62" spans="1:25" hidden="1" x14ac:dyDescent="0.2">
      <c r="B62" s="130" t="s">
        <v>194</v>
      </c>
    </row>
    <row r="63" spans="1:25" hidden="1" x14ac:dyDescent="0.2">
      <c r="B63" s="129" t="s">
        <v>11</v>
      </c>
    </row>
    <row r="64" spans="1:25" hidden="1" x14ac:dyDescent="0.2"/>
    <row r="65" spans="2:2" hidden="1" x14ac:dyDescent="0.2">
      <c r="B65" s="130" t="s">
        <v>193</v>
      </c>
    </row>
    <row r="66" spans="2:2" hidden="1" x14ac:dyDescent="0.2">
      <c r="B66" s="129" t="s">
        <v>11</v>
      </c>
    </row>
    <row r="67" spans="2:2" hidden="1" x14ac:dyDescent="0.2"/>
    <row r="68" spans="2:2" hidden="1" x14ac:dyDescent="0.2">
      <c r="B68" s="130" t="s">
        <v>192</v>
      </c>
    </row>
    <row r="69" spans="2:2" hidden="1" x14ac:dyDescent="0.2">
      <c r="B69" s="129" t="s">
        <v>11</v>
      </c>
    </row>
    <row r="70" spans="2:2" hidden="1" x14ac:dyDescent="0.2"/>
    <row r="71" spans="2:2" hidden="1" x14ac:dyDescent="0.2">
      <c r="B71" s="130" t="s">
        <v>191</v>
      </c>
    </row>
    <row r="72" spans="2:2" hidden="1" x14ac:dyDescent="0.2">
      <c r="B72" s="129" t="s">
        <v>11</v>
      </c>
    </row>
    <row r="73" spans="2:2" hidden="1" x14ac:dyDescent="0.2"/>
  </sheetData>
  <mergeCells count="47"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5:U15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104" priority="17">
      <formula>CELL("protect", INDIRECT(ADDRESS(ROW(), COLUMN())))=0</formula>
    </cfRule>
  </conditionalFormatting>
  <conditionalFormatting sqref="A22:H25 O22:P25">
    <cfRule type="expression" dxfId="103" priority="2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V22:XFD25 A27:H27 O27:P27 V27:XFD27 W49:XFD49 X50:XFD51">
    <cfRule type="expression" dxfId="102" priority="18">
      <formula>CELL("protect", INDIRECT(ADDRESS(ROW(), COLUMN())))=0</formula>
    </cfRule>
  </conditionalFormatting>
  <conditionalFormatting sqref="A10:XFD10">
    <cfRule type="expression" dxfId="101" priority="16">
      <formula>CELL("protect", INDIRECT(ADDRESS(ROW(), COLUMN())))=0</formula>
    </cfRule>
  </conditionalFormatting>
  <conditionalFormatting sqref="A26:XFD26">
    <cfRule type="expression" dxfId="100" priority="9">
      <formula>CELL("protect", INDIRECT(ADDRESS(ROW(), COLUMN())))=0</formula>
    </cfRule>
  </conditionalFormatting>
  <conditionalFormatting sqref="A28:XFD48">
    <cfRule type="expression" dxfId="99" priority="1">
      <formula>CELL("protect", INDIRECT(ADDRESS(ROW(), COLUMN())))=0</formula>
    </cfRule>
  </conditionalFormatting>
  <conditionalFormatting sqref="B56:B57">
    <cfRule type="expression" dxfId="98" priority="15">
      <formula>CELL("protect", INDIRECT(ADDRESS(ROW(), COLUMN())))=0</formula>
    </cfRule>
  </conditionalFormatting>
  <conditionalFormatting sqref="B59:B60">
    <cfRule type="expression" dxfId="97" priority="14">
      <formula>CELL("protect", INDIRECT(ADDRESS(ROW(), COLUMN())))=0</formula>
    </cfRule>
  </conditionalFormatting>
  <conditionalFormatting sqref="B62:B63">
    <cfRule type="expression" dxfId="96" priority="13">
      <formula>CELL("protect", INDIRECT(ADDRESS(ROW(), COLUMN())))=0</formula>
    </cfRule>
  </conditionalFormatting>
  <conditionalFormatting sqref="B65:B66">
    <cfRule type="expression" dxfId="95" priority="12">
      <formula>CELL("protect", INDIRECT(ADDRESS(ROW(), COLUMN())))=0</formula>
    </cfRule>
  </conditionalFormatting>
  <conditionalFormatting sqref="B68:B69">
    <cfRule type="expression" dxfId="94" priority="4">
      <formula>CELL("protect", INDIRECT(ADDRESS(ROW(), COLUMN())))=0</formula>
    </cfRule>
  </conditionalFormatting>
  <conditionalFormatting sqref="B71:B72">
    <cfRule type="expression" dxfId="93" priority="3">
      <formula>CELL("protect", INDIRECT(ADDRESS(ROW(), COLUMN())))=0</formula>
    </cfRule>
  </conditionalFormatting>
  <conditionalFormatting sqref="H34">
    <cfRule type="expression" dxfId="92" priority="5">
      <formula>CELL("protect", INDIRECT(ADDRESS(ROW(), COLUMN())))=0</formula>
    </cfRule>
  </conditionalFormatting>
  <conditionalFormatting sqref="H41">
    <cfRule type="expression" dxfId="91" priority="7">
      <formula>CELL("protect", INDIRECT(ADDRESS(ROW(), COLUMN())))=0</formula>
    </cfRule>
  </conditionalFormatting>
  <conditionalFormatting sqref="H48">
    <cfRule type="expression" dxfId="90" priority="10">
      <formula>CELL("protect", INDIRECT(ADDRESS(ROW(), COLUMN())))=0</formula>
    </cfRule>
  </conditionalFormatting>
  <conditionalFormatting sqref="H33:S33">
    <cfRule type="expression" dxfId="89" priority="6">
      <formula>CELL("protect", INDIRECT(ADDRESS(ROW(), COLUMN())))=0</formula>
    </cfRule>
  </conditionalFormatting>
  <conditionalFormatting sqref="H40:S40">
    <cfRule type="expression" dxfId="88" priority="8">
      <formula>CELL("protect", INDIRECT(ADDRESS(ROW(), COLUMN())))=0</formula>
    </cfRule>
  </conditionalFormatting>
  <conditionalFormatting sqref="H47:S47">
    <cfRule type="expression" dxfId="87" priority="11">
      <formula>CELL("protect", INDIRECT(ADDRESS(ROW(), COLUMN())))=0</formula>
    </cfRule>
  </conditionalFormatting>
  <dataValidations count="6">
    <dataValidation type="list" allowBlank="1" showInputMessage="1" showErrorMessage="1" sqref="H18:L18 P25:U25" xr:uid="{6AC8B9AC-4F7B-1845-8E25-AB97ED372359}">
      <formula1>$B$56:$B$57</formula1>
    </dataValidation>
    <dataValidation type="list" allowBlank="1" showInputMessage="1" showErrorMessage="1" sqref="R18:U18 N18:O18" xr:uid="{993133A9-2A43-3345-9C58-BC2193E6BCBD}">
      <formula1>$B$59:$B$60</formula1>
    </dataValidation>
    <dataValidation type="list" allowBlank="1" showInputMessage="1" showErrorMessage="1" sqref="H25" xr:uid="{4F027E40-C5AB-CE44-B33B-3F60C302A069}">
      <formula1>$B$62:$B$63</formula1>
    </dataValidation>
    <dataValidation type="list" allowBlank="1" showInputMessage="1" showErrorMessage="1" sqref="H46:U46" xr:uid="{426827A2-F118-A343-A1DD-F8BBAA3859B2}">
      <formula1>$B$65:$B$66</formula1>
    </dataValidation>
    <dataValidation type="list" allowBlank="1" showInputMessage="1" showErrorMessage="1" sqref="H32:U32" xr:uid="{3C35B765-D8F6-BE4C-B412-BFD3E5E04166}">
      <formula1>$B$68:$B$69</formula1>
    </dataValidation>
    <dataValidation type="list" allowBlank="1" showInputMessage="1" showErrorMessage="1" sqref="H39:U39" xr:uid="{0F8DDDD1-9A94-564F-8E6C-704D3A4585AB}">
      <formula1>$B$71:$B$72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8204-9784-C943-84C4-8ADAEE9938BF}">
  <dimension ref="A1:AB73"/>
  <sheetViews>
    <sheetView workbookViewId="0">
      <selection activeCell="AA40" sqref="AA40"/>
    </sheetView>
  </sheetViews>
  <sheetFormatPr baseColWidth="10" defaultColWidth="8.83203125" defaultRowHeight="16" x14ac:dyDescent="0.2"/>
  <cols>
    <col min="1" max="1" width="2.33203125" style="128" customWidth="1"/>
    <col min="2" max="4" width="8.83203125" style="128"/>
    <col min="5" max="5" width="4.5" style="128" customWidth="1"/>
    <col min="6" max="6" width="24.33203125" style="128" customWidth="1"/>
    <col min="7" max="7" width="4.5" style="128" customWidth="1"/>
    <col min="8" max="8" width="2.83203125" style="128" customWidth="1"/>
    <col min="9" max="10" width="1.1640625" style="128" customWidth="1"/>
    <col min="11" max="11" width="14" style="128" customWidth="1"/>
    <col min="12" max="12" width="3.5" style="128" customWidth="1"/>
    <col min="13" max="13" width="1.1640625" style="128" customWidth="1"/>
    <col min="14" max="14" width="10" style="128" customWidth="1"/>
    <col min="15" max="15" width="1.33203125" style="128" customWidth="1"/>
    <col min="16" max="16" width="10" style="128" customWidth="1"/>
    <col min="17" max="17" width="1.1640625" style="128" customWidth="1"/>
    <col min="18" max="18" width="3" style="128" customWidth="1"/>
    <col min="19" max="19" width="2.1640625" style="128" customWidth="1"/>
    <col min="20" max="20" width="12.1640625" style="128" customWidth="1"/>
    <col min="21" max="21" width="4.1640625" style="128" customWidth="1"/>
    <col min="22" max="22" width="4" style="128" customWidth="1"/>
    <col min="23" max="16384" width="8.83203125" style="128"/>
  </cols>
  <sheetData>
    <row r="1" spans="1:22" ht="6" customHeight="1" x14ac:dyDescent="0.2">
      <c r="R1" s="128" t="s">
        <v>220</v>
      </c>
    </row>
    <row r="2" spans="1:22" ht="23" customHeight="1" x14ac:dyDescent="0.2">
      <c r="A2" s="184" t="s">
        <v>219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2" ht="15" customHeight="1" x14ac:dyDescent="0.2">
      <c r="P3" s="183" t="s">
        <v>218</v>
      </c>
      <c r="Q3" s="143"/>
      <c r="R3" s="143"/>
      <c r="S3" s="143"/>
      <c r="T3" s="143"/>
      <c r="U3" s="143"/>
      <c r="V3" s="143"/>
    </row>
    <row r="4" spans="1:22" ht="15" customHeight="1" x14ac:dyDescent="0.2">
      <c r="T4" s="182" t="s">
        <v>217</v>
      </c>
      <c r="U4" s="143"/>
      <c r="V4" s="143"/>
    </row>
    <row r="5" spans="1:22" ht="15" customHeight="1" x14ac:dyDescent="0.2">
      <c r="T5" s="181"/>
    </row>
    <row r="6" spans="1:22" x14ac:dyDescent="0.2">
      <c r="A6" s="166" t="s">
        <v>61</v>
      </c>
      <c r="H6" s="166"/>
      <c r="S6" s="144"/>
      <c r="T6" s="143"/>
      <c r="U6" s="143"/>
    </row>
    <row r="7" spans="1:22" ht="5" customHeight="1" thickBot="1" x14ac:dyDescent="0.25">
      <c r="A7" s="166"/>
      <c r="H7" s="166"/>
      <c r="S7" s="145"/>
      <c r="T7" s="145"/>
      <c r="U7" s="145"/>
    </row>
    <row r="8" spans="1:22" x14ac:dyDescent="0.2">
      <c r="A8" s="166" t="s">
        <v>60</v>
      </c>
      <c r="F8" s="180" t="s">
        <v>59</v>
      </c>
      <c r="H8" s="166" t="s">
        <v>58</v>
      </c>
      <c r="L8" s="175" t="s">
        <v>216</v>
      </c>
      <c r="M8" s="174"/>
      <c r="N8" s="174"/>
      <c r="O8" s="174"/>
      <c r="P8" s="174"/>
      <c r="Q8" s="174"/>
      <c r="R8" s="174"/>
      <c r="S8" s="174"/>
      <c r="T8" s="174"/>
      <c r="U8" s="173"/>
    </row>
    <row r="9" spans="1:22" ht="16.25" customHeight="1" x14ac:dyDescent="0.2">
      <c r="A9" s="166"/>
      <c r="F9" s="179"/>
      <c r="H9" s="166"/>
      <c r="L9" s="169"/>
      <c r="M9" s="168"/>
      <c r="N9" s="168"/>
      <c r="O9" s="168"/>
      <c r="P9" s="168"/>
      <c r="Q9" s="168"/>
      <c r="R9" s="168"/>
      <c r="S9" s="168"/>
      <c r="T9" s="168"/>
      <c r="U9" s="167"/>
    </row>
    <row r="10" spans="1:22" ht="5" customHeight="1" thickBot="1" x14ac:dyDescent="0.25"/>
    <row r="11" spans="1:22" x14ac:dyDescent="0.2">
      <c r="A11" s="166" t="s">
        <v>56</v>
      </c>
      <c r="C11" s="178" t="s">
        <v>55</v>
      </c>
      <c r="D11" s="177"/>
      <c r="E11" s="177"/>
      <c r="F11" s="176"/>
      <c r="H11" s="166" t="s">
        <v>54</v>
      </c>
      <c r="L11" s="175" t="s">
        <v>215</v>
      </c>
      <c r="M11" s="174"/>
      <c r="N11" s="174"/>
      <c r="O11" s="174"/>
      <c r="P11" s="174"/>
      <c r="Q11" s="174"/>
      <c r="R11" s="174"/>
      <c r="S11" s="174"/>
      <c r="T11" s="174"/>
      <c r="U11" s="173"/>
    </row>
    <row r="12" spans="1:22" ht="16.25" customHeight="1" x14ac:dyDescent="0.2">
      <c r="A12" s="166"/>
      <c r="C12" s="172"/>
      <c r="D12" s="171"/>
      <c r="E12" s="171"/>
      <c r="F12" s="170"/>
      <c r="H12" s="166"/>
      <c r="L12" s="169"/>
      <c r="M12" s="168"/>
      <c r="N12" s="168"/>
      <c r="O12" s="168"/>
      <c r="P12" s="168"/>
      <c r="Q12" s="168"/>
      <c r="R12" s="168"/>
      <c r="S12" s="168"/>
      <c r="T12" s="168"/>
      <c r="U12" s="167"/>
    </row>
    <row r="13" spans="1:22" x14ac:dyDescent="0.2">
      <c r="A13" s="166"/>
    </row>
    <row r="14" spans="1:22" ht="39.5" customHeight="1" thickBot="1" x14ac:dyDescent="0.25">
      <c r="A14" s="137" t="s">
        <v>52</v>
      </c>
      <c r="B14" s="135" t="s">
        <v>214</v>
      </c>
      <c r="C14" s="135"/>
      <c r="D14" s="135"/>
      <c r="E14" s="135"/>
      <c r="F14" s="135"/>
      <c r="G14" s="135"/>
      <c r="H14" s="165" t="s">
        <v>213</v>
      </c>
      <c r="I14" s="143"/>
      <c r="J14" s="143"/>
      <c r="K14" s="143"/>
      <c r="L14" s="143"/>
      <c r="M14" s="164"/>
      <c r="N14" s="155" t="s">
        <v>212</v>
      </c>
      <c r="O14" s="154"/>
      <c r="P14" s="154"/>
      <c r="Q14" s="164"/>
      <c r="R14" s="163" t="s">
        <v>211</v>
      </c>
      <c r="S14" s="143"/>
      <c r="T14" s="143"/>
      <c r="U14" s="143"/>
    </row>
    <row r="15" spans="1:22" ht="15" customHeight="1" thickBot="1" x14ac:dyDescent="0.25">
      <c r="A15" s="137"/>
      <c r="B15" s="136"/>
      <c r="C15" s="136" t="s">
        <v>203</v>
      </c>
      <c r="D15" s="135"/>
      <c r="E15" s="135"/>
      <c r="H15" s="150" t="s">
        <v>205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2"/>
    </row>
    <row r="16" spans="1:22" ht="16.25" customHeight="1" thickBot="1" x14ac:dyDescent="0.25">
      <c r="A16" s="137"/>
      <c r="B16" s="136"/>
      <c r="C16" s="136" t="s">
        <v>201</v>
      </c>
      <c r="D16" s="135"/>
      <c r="E16" s="135"/>
      <c r="H16" s="151" t="s">
        <v>200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2"/>
    </row>
    <row r="17" spans="1:28" ht="3.5" customHeight="1" thickBot="1" x14ac:dyDescent="0.25">
      <c r="A17" s="137"/>
      <c r="B17" s="136"/>
      <c r="C17" s="136"/>
      <c r="D17" s="135"/>
      <c r="E17" s="135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spans="1:28" ht="47.5" customHeight="1" thickBot="1" x14ac:dyDescent="0.25">
      <c r="A18" s="137"/>
      <c r="B18" s="136"/>
      <c r="C18" s="136" t="s">
        <v>199</v>
      </c>
      <c r="D18" s="135"/>
      <c r="E18" s="135"/>
      <c r="F18" s="135"/>
      <c r="G18" s="135"/>
      <c r="H18" s="140" t="s">
        <v>196</v>
      </c>
      <c r="I18" s="133"/>
      <c r="J18" s="133"/>
      <c r="K18" s="133"/>
      <c r="L18" s="139"/>
      <c r="M18" s="161"/>
      <c r="N18" s="162" t="s">
        <v>195</v>
      </c>
      <c r="O18" s="133"/>
      <c r="P18" s="132"/>
      <c r="Q18" s="161"/>
      <c r="R18" s="140"/>
      <c r="S18" s="133"/>
      <c r="T18" s="133"/>
      <c r="U18" s="139"/>
    </row>
    <row r="19" spans="1:28" ht="15" customHeight="1" thickBot="1" x14ac:dyDescent="0.25">
      <c r="A19" s="137"/>
      <c r="B19" s="136"/>
      <c r="C19" s="136"/>
      <c r="D19" s="135"/>
      <c r="E19" s="135"/>
      <c r="F19" s="135"/>
      <c r="G19" s="135"/>
      <c r="H19" s="160" t="s">
        <v>23</v>
      </c>
      <c r="I19" s="159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</row>
    <row r="20" spans="1:28" ht="53.5" customHeight="1" thickBot="1" x14ac:dyDescent="0.25">
      <c r="A20" s="137"/>
      <c r="B20" s="136"/>
      <c r="C20" s="136"/>
      <c r="D20" s="135"/>
      <c r="E20" s="135"/>
      <c r="F20" s="135"/>
      <c r="G20" s="135"/>
      <c r="H20" s="134"/>
      <c r="I20" s="133"/>
      <c r="J20" s="133"/>
      <c r="K20" s="133"/>
      <c r="L20" s="132"/>
      <c r="M20" s="135"/>
      <c r="N20" s="158"/>
      <c r="O20" s="133"/>
      <c r="P20" s="132"/>
      <c r="Q20" s="135"/>
      <c r="R20" s="134" t="s">
        <v>223</v>
      </c>
      <c r="S20" s="133"/>
      <c r="T20" s="133"/>
      <c r="U20" s="132"/>
      <c r="AB20" s="157"/>
    </row>
    <row r="21" spans="1:28" ht="6" customHeight="1" x14ac:dyDescent="0.2">
      <c r="A21" s="137"/>
      <c r="B21" s="136"/>
      <c r="C21" s="136"/>
      <c r="D21" s="135"/>
      <c r="E21" s="13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</row>
    <row r="22" spans="1:28" ht="22.25" customHeight="1" thickBot="1" x14ac:dyDescent="0.25">
      <c r="A22" s="137" t="s">
        <v>45</v>
      </c>
      <c r="B22" s="135" t="s">
        <v>210</v>
      </c>
      <c r="C22" s="135"/>
      <c r="D22" s="135"/>
      <c r="E22" s="135"/>
      <c r="H22" s="155" t="s">
        <v>209</v>
      </c>
      <c r="I22" s="154"/>
      <c r="J22" s="154"/>
      <c r="K22" s="154"/>
      <c r="L22" s="154"/>
      <c r="M22" s="154"/>
      <c r="N22" s="154"/>
      <c r="O22" s="156"/>
      <c r="P22" s="155" t="s">
        <v>208</v>
      </c>
      <c r="Q22" s="154"/>
      <c r="R22" s="154"/>
      <c r="S22" s="154"/>
      <c r="T22" s="154"/>
      <c r="U22" s="154"/>
    </row>
    <row r="23" spans="1:28" ht="16.25" customHeight="1" thickBot="1" x14ac:dyDescent="0.25">
      <c r="A23" s="137"/>
      <c r="B23" s="136"/>
      <c r="C23" s="136" t="s">
        <v>203</v>
      </c>
      <c r="D23" s="135"/>
      <c r="E23" s="135"/>
      <c r="H23" s="152" t="s">
        <v>205</v>
      </c>
      <c r="I23" s="133"/>
      <c r="J23" s="133"/>
      <c r="K23" s="133"/>
      <c r="L23" s="133"/>
      <c r="M23" s="133"/>
      <c r="N23" s="132"/>
      <c r="P23" s="151" t="s">
        <v>202</v>
      </c>
      <c r="Q23" s="133"/>
      <c r="R23" s="133"/>
      <c r="S23" s="133"/>
      <c r="T23" s="133"/>
      <c r="U23" s="132"/>
    </row>
    <row r="24" spans="1:28" ht="16.25" customHeight="1" thickBot="1" x14ac:dyDescent="0.25">
      <c r="A24" s="137"/>
      <c r="B24" s="136"/>
      <c r="C24" s="136" t="s">
        <v>201</v>
      </c>
      <c r="D24" s="135"/>
      <c r="E24" s="135"/>
      <c r="H24" s="152" t="s">
        <v>184</v>
      </c>
      <c r="I24" s="133"/>
      <c r="J24" s="133"/>
      <c r="K24" s="133"/>
      <c r="L24" s="133"/>
      <c r="M24" s="133"/>
      <c r="N24" s="132"/>
      <c r="P24" s="151" t="s">
        <v>184</v>
      </c>
      <c r="Q24" s="133"/>
      <c r="R24" s="133"/>
      <c r="S24" s="133"/>
      <c r="T24" s="133"/>
      <c r="U24" s="132"/>
    </row>
    <row r="25" spans="1:28" ht="35" customHeight="1" thickBot="1" x14ac:dyDescent="0.25">
      <c r="A25" s="137"/>
      <c r="B25" s="136"/>
      <c r="C25" s="136" t="s">
        <v>199</v>
      </c>
      <c r="D25" s="135"/>
      <c r="E25" s="135"/>
      <c r="H25" s="153" t="s">
        <v>194</v>
      </c>
      <c r="I25" s="133"/>
      <c r="J25" s="133"/>
      <c r="K25" s="133"/>
      <c r="L25" s="133"/>
      <c r="M25" s="133"/>
      <c r="N25" s="132"/>
      <c r="P25" s="153" t="s">
        <v>196</v>
      </c>
      <c r="Q25" s="133"/>
      <c r="R25" s="133"/>
      <c r="S25" s="133"/>
      <c r="T25" s="133"/>
      <c r="U25" s="132"/>
    </row>
    <row r="26" spans="1:28" ht="16.25" customHeight="1" thickBot="1" x14ac:dyDescent="0.25">
      <c r="A26" s="137"/>
      <c r="B26" s="136"/>
      <c r="C26" s="136"/>
      <c r="D26" s="135"/>
      <c r="E26" s="135"/>
      <c r="H26" s="138" t="s">
        <v>23</v>
      </c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</row>
    <row r="27" spans="1:28" ht="41.5" customHeight="1" thickBot="1" x14ac:dyDescent="0.25">
      <c r="A27" s="137"/>
      <c r="B27" s="136"/>
      <c r="C27" s="136"/>
      <c r="D27" s="135"/>
      <c r="E27" s="135"/>
      <c r="H27" s="152"/>
      <c r="I27" s="133"/>
      <c r="J27" s="133"/>
      <c r="K27" s="133"/>
      <c r="L27" s="133"/>
      <c r="M27" s="133"/>
      <c r="N27" s="132"/>
      <c r="P27" s="151"/>
      <c r="Q27" s="133"/>
      <c r="R27" s="133"/>
      <c r="S27" s="133"/>
      <c r="T27" s="133"/>
      <c r="U27" s="132"/>
    </row>
    <row r="28" spans="1:28" ht="6" customHeight="1" x14ac:dyDescent="0.2">
      <c r="A28" s="137"/>
      <c r="B28" s="136"/>
      <c r="C28" s="136"/>
      <c r="D28" s="135"/>
      <c r="E28" s="135"/>
      <c r="U28" s="145"/>
    </row>
    <row r="29" spans="1:28" ht="14.5" customHeight="1" thickBot="1" x14ac:dyDescent="0.25">
      <c r="A29" s="137" t="s">
        <v>42</v>
      </c>
      <c r="B29" s="135" t="s">
        <v>207</v>
      </c>
      <c r="C29" s="135"/>
      <c r="D29" s="135"/>
      <c r="E29" s="135"/>
      <c r="K29" s="144"/>
      <c r="L29" s="143"/>
      <c r="M29" s="145"/>
      <c r="N29" s="145"/>
      <c r="O29" s="145"/>
      <c r="P29" s="145"/>
      <c r="Q29" s="145"/>
      <c r="S29" s="144"/>
      <c r="T29" s="143"/>
    </row>
    <row r="30" spans="1:28" ht="15" customHeight="1" thickBot="1" x14ac:dyDescent="0.25">
      <c r="A30" s="137"/>
      <c r="B30" s="136"/>
      <c r="C30" s="136" t="s">
        <v>203</v>
      </c>
      <c r="D30" s="135"/>
      <c r="E30" s="135"/>
      <c r="H30" s="142" t="s">
        <v>202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9"/>
    </row>
    <row r="31" spans="1:28" ht="16.25" customHeight="1" thickBot="1" x14ac:dyDescent="0.25">
      <c r="A31" s="137"/>
      <c r="B31" s="136"/>
      <c r="C31" s="136" t="s">
        <v>201</v>
      </c>
      <c r="D31" s="135"/>
      <c r="E31" s="135"/>
      <c r="H31" s="142" t="s">
        <v>184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9"/>
    </row>
    <row r="32" spans="1:28" ht="18.5" customHeight="1" thickBot="1" x14ac:dyDescent="0.25">
      <c r="A32" s="137"/>
      <c r="B32" s="136"/>
      <c r="C32" s="136" t="s">
        <v>199</v>
      </c>
      <c r="D32" s="141"/>
      <c r="E32" s="141"/>
      <c r="F32" s="141"/>
      <c r="G32" s="141"/>
      <c r="H32" s="140" t="s">
        <v>192</v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9"/>
    </row>
    <row r="33" spans="1:21" ht="16.25" customHeight="1" thickBot="1" x14ac:dyDescent="0.25">
      <c r="A33" s="137"/>
      <c r="B33" s="136"/>
      <c r="C33" s="136"/>
      <c r="D33" s="135"/>
      <c r="E33" s="135"/>
      <c r="H33" s="138" t="s">
        <v>23</v>
      </c>
      <c r="I33" s="138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31"/>
      <c r="U33" s="131"/>
    </row>
    <row r="34" spans="1:21" ht="53.5" customHeight="1" thickBot="1" x14ac:dyDescent="0.25">
      <c r="A34" s="137"/>
      <c r="B34" s="136"/>
      <c r="C34" s="136"/>
      <c r="D34" s="135"/>
      <c r="E34" s="135"/>
      <c r="H34" s="134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2"/>
    </row>
    <row r="35" spans="1:21" ht="6" customHeight="1" x14ac:dyDescent="0.2">
      <c r="A35" s="137"/>
      <c r="B35" s="136"/>
      <c r="C35" s="136"/>
      <c r="D35" s="135"/>
      <c r="E35" s="135"/>
      <c r="U35" s="145"/>
    </row>
    <row r="36" spans="1:21" ht="14.5" customHeight="1" thickBot="1" x14ac:dyDescent="0.25">
      <c r="A36" s="137" t="s">
        <v>40</v>
      </c>
      <c r="B36" s="135" t="s">
        <v>206</v>
      </c>
      <c r="C36" s="135"/>
      <c r="D36" s="135"/>
      <c r="E36" s="135"/>
      <c r="K36" s="144"/>
      <c r="L36" s="143"/>
      <c r="M36" s="145"/>
      <c r="N36" s="145"/>
      <c r="O36" s="145"/>
      <c r="P36" s="145"/>
      <c r="Q36" s="145"/>
      <c r="S36" s="144"/>
      <c r="T36" s="143"/>
    </row>
    <row r="37" spans="1:21" ht="15" customHeight="1" thickBot="1" x14ac:dyDescent="0.25">
      <c r="A37" s="137"/>
      <c r="B37" s="136"/>
      <c r="C37" s="136" t="s">
        <v>203</v>
      </c>
      <c r="D37" s="135"/>
      <c r="E37" s="135"/>
      <c r="H37" s="150" t="s">
        <v>205</v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2"/>
    </row>
    <row r="38" spans="1:21" ht="16.25" customHeight="1" thickBot="1" x14ac:dyDescent="0.25">
      <c r="A38" s="137"/>
      <c r="B38" s="136"/>
      <c r="C38" s="136" t="s">
        <v>201</v>
      </c>
      <c r="D38" s="135"/>
      <c r="E38" s="135"/>
      <c r="H38" s="149" t="s">
        <v>184</v>
      </c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6"/>
    </row>
    <row r="39" spans="1:21" ht="19.25" customHeight="1" thickBot="1" x14ac:dyDescent="0.25">
      <c r="A39" s="137"/>
      <c r="B39" s="136"/>
      <c r="C39" s="136" t="s">
        <v>199</v>
      </c>
      <c r="D39" s="141"/>
      <c r="E39" s="141"/>
      <c r="F39" s="141"/>
      <c r="G39" s="141"/>
      <c r="H39" s="148" t="s">
        <v>11</v>
      </c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6"/>
    </row>
    <row r="40" spans="1:21" ht="16.25" customHeight="1" thickBot="1" x14ac:dyDescent="0.25">
      <c r="A40" s="137"/>
      <c r="B40" s="136"/>
      <c r="C40" s="136"/>
      <c r="D40" s="135"/>
      <c r="E40" s="135"/>
      <c r="H40" s="138" t="s">
        <v>23</v>
      </c>
      <c r="I40" s="138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31"/>
      <c r="U40" s="131"/>
    </row>
    <row r="41" spans="1:21" ht="53.5" customHeight="1" thickBot="1" x14ac:dyDescent="0.25">
      <c r="A41" s="137"/>
      <c r="B41" s="136"/>
      <c r="C41" s="136"/>
      <c r="D41" s="135"/>
      <c r="E41" s="135"/>
      <c r="H41" s="134" t="s">
        <v>222</v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2"/>
    </row>
    <row r="42" spans="1:21" ht="6" customHeight="1" x14ac:dyDescent="0.2">
      <c r="A42" s="137"/>
      <c r="B42" s="136"/>
      <c r="C42" s="136"/>
      <c r="D42" s="135"/>
      <c r="E42" s="135"/>
      <c r="U42" s="145"/>
    </row>
    <row r="43" spans="1:21" ht="14.5" customHeight="1" thickBot="1" x14ac:dyDescent="0.25">
      <c r="A43" s="137" t="s">
        <v>37</v>
      </c>
      <c r="B43" s="135" t="s">
        <v>204</v>
      </c>
      <c r="C43" s="135"/>
      <c r="D43" s="135"/>
      <c r="E43" s="135"/>
      <c r="K43" s="144"/>
      <c r="L43" s="143"/>
      <c r="M43" s="145"/>
      <c r="N43" s="145"/>
      <c r="O43" s="145"/>
      <c r="P43" s="145"/>
      <c r="Q43" s="145"/>
      <c r="S43" s="144"/>
      <c r="T43" s="143"/>
    </row>
    <row r="44" spans="1:21" ht="15" customHeight="1" thickBot="1" x14ac:dyDescent="0.25">
      <c r="A44" s="137"/>
      <c r="B44" s="136"/>
      <c r="C44" s="136" t="s">
        <v>203</v>
      </c>
      <c r="D44" s="135"/>
      <c r="E44" s="135"/>
      <c r="H44" s="142" t="s">
        <v>202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9"/>
    </row>
    <row r="45" spans="1:21" ht="16.25" customHeight="1" thickBot="1" x14ac:dyDescent="0.25">
      <c r="A45" s="137"/>
      <c r="B45" s="136"/>
      <c r="C45" s="136" t="s">
        <v>201</v>
      </c>
      <c r="D45" s="135"/>
      <c r="E45" s="135"/>
      <c r="H45" s="142" t="s">
        <v>221</v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9"/>
    </row>
    <row r="46" spans="1:21" ht="19.25" customHeight="1" thickBot="1" x14ac:dyDescent="0.25">
      <c r="A46" s="137"/>
      <c r="B46" s="136"/>
      <c r="C46" s="136" t="s">
        <v>199</v>
      </c>
      <c r="D46" s="141"/>
      <c r="E46" s="141"/>
      <c r="F46" s="141"/>
      <c r="G46" s="141"/>
      <c r="H46" s="140" t="s">
        <v>193</v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9"/>
    </row>
    <row r="47" spans="1:21" ht="16.25" customHeight="1" thickBot="1" x14ac:dyDescent="0.25">
      <c r="A47" s="137"/>
      <c r="B47" s="136"/>
      <c r="C47" s="136"/>
      <c r="D47" s="135"/>
      <c r="E47" s="135"/>
      <c r="H47" s="138" t="s">
        <v>23</v>
      </c>
      <c r="I47" s="138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31"/>
      <c r="U47" s="131"/>
    </row>
    <row r="48" spans="1:21" ht="53.5" customHeight="1" thickBot="1" x14ac:dyDescent="0.25">
      <c r="A48" s="137"/>
      <c r="B48" s="136"/>
      <c r="C48" s="136"/>
      <c r="D48" s="135"/>
      <c r="E48" s="135"/>
      <c r="H48" s="134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2"/>
    </row>
    <row r="49" spans="1:25" x14ac:dyDescent="0.2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</row>
    <row r="50" spans="1:25" x14ac:dyDescent="0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</row>
    <row r="51" spans="1:25" ht="27" customHeight="1" x14ac:dyDescent="0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</row>
    <row r="52" spans="1:25" hidden="1" x14ac:dyDescent="0.2"/>
    <row r="53" spans="1:25" hidden="1" x14ac:dyDescent="0.2">
      <c r="B53" s="131" t="s">
        <v>198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 t="s">
        <v>197</v>
      </c>
      <c r="W53" s="131"/>
      <c r="X53" s="131"/>
      <c r="Y53" s="131"/>
    </row>
    <row r="54" spans="1:25" hidden="1" x14ac:dyDescent="0.2"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</row>
    <row r="55" spans="1:25" hidden="1" x14ac:dyDescent="0.2"/>
    <row r="56" spans="1:25" ht="18.5" hidden="1" customHeight="1" x14ac:dyDescent="0.2">
      <c r="B56" s="130" t="s">
        <v>196</v>
      </c>
    </row>
    <row r="57" spans="1:25" hidden="1" x14ac:dyDescent="0.2">
      <c r="B57" s="129" t="s">
        <v>11</v>
      </c>
    </row>
    <row r="58" spans="1:25" hidden="1" x14ac:dyDescent="0.2"/>
    <row r="59" spans="1:25" hidden="1" x14ac:dyDescent="0.2">
      <c r="B59" s="130" t="s">
        <v>195</v>
      </c>
    </row>
    <row r="60" spans="1:25" hidden="1" x14ac:dyDescent="0.2">
      <c r="B60" s="129" t="s">
        <v>11</v>
      </c>
    </row>
    <row r="61" spans="1:25" hidden="1" x14ac:dyDescent="0.2"/>
    <row r="62" spans="1:25" hidden="1" x14ac:dyDescent="0.2">
      <c r="B62" s="130" t="s">
        <v>194</v>
      </c>
    </row>
    <row r="63" spans="1:25" hidden="1" x14ac:dyDescent="0.2">
      <c r="B63" s="129" t="s">
        <v>11</v>
      </c>
    </row>
    <row r="64" spans="1:25" hidden="1" x14ac:dyDescent="0.2"/>
    <row r="65" spans="2:2" hidden="1" x14ac:dyDescent="0.2">
      <c r="B65" s="130" t="s">
        <v>193</v>
      </c>
    </row>
    <row r="66" spans="2:2" hidden="1" x14ac:dyDescent="0.2">
      <c r="B66" s="129" t="s">
        <v>11</v>
      </c>
    </row>
    <row r="67" spans="2:2" hidden="1" x14ac:dyDescent="0.2"/>
    <row r="68" spans="2:2" hidden="1" x14ac:dyDescent="0.2">
      <c r="B68" s="130" t="s">
        <v>192</v>
      </c>
    </row>
    <row r="69" spans="2:2" hidden="1" x14ac:dyDescent="0.2">
      <c r="B69" s="129" t="s">
        <v>11</v>
      </c>
    </row>
    <row r="70" spans="2:2" hidden="1" x14ac:dyDescent="0.2"/>
    <row r="71" spans="2:2" hidden="1" x14ac:dyDescent="0.2">
      <c r="B71" s="130" t="s">
        <v>191</v>
      </c>
    </row>
    <row r="72" spans="2:2" hidden="1" x14ac:dyDescent="0.2">
      <c r="B72" s="129" t="s">
        <v>11</v>
      </c>
    </row>
    <row r="73" spans="2:2" hidden="1" x14ac:dyDescent="0.2"/>
  </sheetData>
  <mergeCells count="47"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5:U15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86" priority="17">
      <formula>CELL("protect", INDIRECT(ADDRESS(ROW(), COLUMN())))=0</formula>
    </cfRule>
  </conditionalFormatting>
  <conditionalFormatting sqref="A22:H25 O22:P25">
    <cfRule type="expression" dxfId="85" priority="2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V22:XFD25 A27:H27 O27:P27 V27:XFD27 W49:XFD49 X50:XFD51">
    <cfRule type="expression" dxfId="84" priority="18">
      <formula>CELL("protect", INDIRECT(ADDRESS(ROW(), COLUMN())))=0</formula>
    </cfRule>
  </conditionalFormatting>
  <conditionalFormatting sqref="A10:XFD10">
    <cfRule type="expression" dxfId="83" priority="16">
      <formula>CELL("protect", INDIRECT(ADDRESS(ROW(), COLUMN())))=0</formula>
    </cfRule>
  </conditionalFormatting>
  <conditionalFormatting sqref="A26:XFD26">
    <cfRule type="expression" dxfId="82" priority="9">
      <formula>CELL("protect", INDIRECT(ADDRESS(ROW(), COLUMN())))=0</formula>
    </cfRule>
  </conditionalFormatting>
  <conditionalFormatting sqref="A28:XFD48">
    <cfRule type="expression" dxfId="81" priority="1">
      <formula>CELL("protect", INDIRECT(ADDRESS(ROW(), COLUMN())))=0</formula>
    </cfRule>
  </conditionalFormatting>
  <conditionalFormatting sqref="B56:B57">
    <cfRule type="expression" dxfId="80" priority="15">
      <formula>CELL("protect", INDIRECT(ADDRESS(ROW(), COLUMN())))=0</formula>
    </cfRule>
  </conditionalFormatting>
  <conditionalFormatting sqref="B59:B60">
    <cfRule type="expression" dxfId="79" priority="14">
      <formula>CELL("protect", INDIRECT(ADDRESS(ROW(), COLUMN())))=0</formula>
    </cfRule>
  </conditionalFormatting>
  <conditionalFormatting sqref="B62:B63">
    <cfRule type="expression" dxfId="78" priority="13">
      <formula>CELL("protect", INDIRECT(ADDRESS(ROW(), COLUMN())))=0</formula>
    </cfRule>
  </conditionalFormatting>
  <conditionalFormatting sqref="B65:B66">
    <cfRule type="expression" dxfId="77" priority="12">
      <formula>CELL("protect", INDIRECT(ADDRESS(ROW(), COLUMN())))=0</formula>
    </cfRule>
  </conditionalFormatting>
  <conditionalFormatting sqref="B68:B69">
    <cfRule type="expression" dxfId="76" priority="4">
      <formula>CELL("protect", INDIRECT(ADDRESS(ROW(), COLUMN())))=0</formula>
    </cfRule>
  </conditionalFormatting>
  <conditionalFormatting sqref="B71:B72">
    <cfRule type="expression" dxfId="75" priority="3">
      <formula>CELL("protect", INDIRECT(ADDRESS(ROW(), COLUMN())))=0</formula>
    </cfRule>
  </conditionalFormatting>
  <conditionalFormatting sqref="H34">
    <cfRule type="expression" dxfId="74" priority="5">
      <formula>CELL("protect", INDIRECT(ADDRESS(ROW(), COLUMN())))=0</formula>
    </cfRule>
  </conditionalFormatting>
  <conditionalFormatting sqref="H41">
    <cfRule type="expression" dxfId="73" priority="7">
      <formula>CELL("protect", INDIRECT(ADDRESS(ROW(), COLUMN())))=0</formula>
    </cfRule>
  </conditionalFormatting>
  <conditionalFormatting sqref="H48">
    <cfRule type="expression" dxfId="72" priority="10">
      <formula>CELL("protect", INDIRECT(ADDRESS(ROW(), COLUMN())))=0</formula>
    </cfRule>
  </conditionalFormatting>
  <conditionalFormatting sqref="H33:S33">
    <cfRule type="expression" dxfId="71" priority="6">
      <formula>CELL("protect", INDIRECT(ADDRESS(ROW(), COLUMN())))=0</formula>
    </cfRule>
  </conditionalFormatting>
  <conditionalFormatting sqref="H40:S40">
    <cfRule type="expression" dxfId="70" priority="8">
      <formula>CELL("protect", INDIRECT(ADDRESS(ROW(), COLUMN())))=0</formula>
    </cfRule>
  </conditionalFormatting>
  <conditionalFormatting sqref="H47:S47">
    <cfRule type="expression" dxfId="69" priority="11">
      <formula>CELL("protect", INDIRECT(ADDRESS(ROW(), COLUMN())))=0</formula>
    </cfRule>
  </conditionalFormatting>
  <dataValidations count="6">
    <dataValidation type="list" allowBlank="1" showInputMessage="1" showErrorMessage="1" sqref="H39:U39" xr:uid="{308676BC-7C95-3545-8E0C-05C7ABB33CB9}">
      <formula1>$B$71:$B$72</formula1>
    </dataValidation>
    <dataValidation type="list" allowBlank="1" showInputMessage="1" showErrorMessage="1" sqref="H32:U32" xr:uid="{79E801F1-C9C1-114E-85C4-ECD0894CD562}">
      <formula1>$B$68:$B$69</formula1>
    </dataValidation>
    <dataValidation type="list" allowBlank="1" showInputMessage="1" showErrorMessage="1" sqref="H46:U46" xr:uid="{53A93A09-80F4-C545-804A-2FDF3D73E123}">
      <formula1>$B$65:$B$66</formula1>
    </dataValidation>
    <dataValidation type="list" allowBlank="1" showInputMessage="1" showErrorMessage="1" sqref="H25" xr:uid="{CD1C4A62-4036-4442-970D-C7628DDDA5D5}">
      <formula1>$B$62:$B$63</formula1>
    </dataValidation>
    <dataValidation type="list" allowBlank="1" showInputMessage="1" showErrorMessage="1" sqref="R18:U18 N18:O18" xr:uid="{8509D50E-20CA-E348-BE09-1D0B8B89670B}">
      <formula1>$B$59:$B$60</formula1>
    </dataValidation>
    <dataValidation type="list" allowBlank="1" showInputMessage="1" showErrorMessage="1" sqref="H18:L18 P25:U25" xr:uid="{72358BEA-B75C-4A40-A8F9-CE1DD0CA8A94}">
      <formula1>$B$56:$B$57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ACC0-C263-3941-ACAD-2D7DF1BF3A24}">
  <dimension ref="A1:AB73"/>
  <sheetViews>
    <sheetView topLeftCell="A14" workbookViewId="0">
      <selection activeCell="H48" sqref="H48:U48"/>
    </sheetView>
  </sheetViews>
  <sheetFormatPr baseColWidth="10" defaultColWidth="8.83203125" defaultRowHeight="16" x14ac:dyDescent="0.2"/>
  <cols>
    <col min="1" max="1" width="2.33203125" style="128" customWidth="1"/>
    <col min="2" max="4" width="8.83203125" style="128"/>
    <col min="5" max="5" width="4.5" style="128" customWidth="1"/>
    <col min="6" max="6" width="24.33203125" style="128" customWidth="1"/>
    <col min="7" max="7" width="4.5" style="128" customWidth="1"/>
    <col min="8" max="8" width="2.83203125" style="128" customWidth="1"/>
    <col min="9" max="10" width="1.1640625" style="128" customWidth="1"/>
    <col min="11" max="11" width="14" style="128" customWidth="1"/>
    <col min="12" max="12" width="3.5" style="128" customWidth="1"/>
    <col min="13" max="13" width="1.1640625" style="128" customWidth="1"/>
    <col min="14" max="14" width="10" style="128" customWidth="1"/>
    <col min="15" max="15" width="1.33203125" style="128" customWidth="1"/>
    <col min="16" max="16" width="10" style="128" customWidth="1"/>
    <col min="17" max="17" width="1.1640625" style="128" customWidth="1"/>
    <col min="18" max="18" width="3" style="128" customWidth="1"/>
    <col min="19" max="19" width="2.1640625" style="128" customWidth="1"/>
    <col min="20" max="20" width="12.1640625" style="128" customWidth="1"/>
    <col min="21" max="21" width="4.1640625" style="128" customWidth="1"/>
    <col min="22" max="22" width="4" style="128" customWidth="1"/>
    <col min="23" max="16384" width="8.83203125" style="128"/>
  </cols>
  <sheetData>
    <row r="1" spans="1:22" ht="6" customHeight="1" x14ac:dyDescent="0.2">
      <c r="R1" s="128" t="s">
        <v>220</v>
      </c>
    </row>
    <row r="2" spans="1:22" ht="23" customHeight="1" x14ac:dyDescent="0.2">
      <c r="A2" s="184" t="s">
        <v>219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2" ht="15" customHeight="1" x14ac:dyDescent="0.2">
      <c r="P3" s="183" t="s">
        <v>218</v>
      </c>
      <c r="Q3" s="143"/>
      <c r="R3" s="143"/>
      <c r="S3" s="143"/>
      <c r="T3" s="143"/>
      <c r="U3" s="143"/>
      <c r="V3" s="143"/>
    </row>
    <row r="4" spans="1:22" ht="15" customHeight="1" x14ac:dyDescent="0.2">
      <c r="T4" s="182" t="s">
        <v>217</v>
      </c>
      <c r="U4" s="143"/>
      <c r="V4" s="143"/>
    </row>
    <row r="5" spans="1:22" ht="15" customHeight="1" x14ac:dyDescent="0.2">
      <c r="T5" s="181"/>
    </row>
    <row r="6" spans="1:22" x14ac:dyDescent="0.2">
      <c r="A6" s="166" t="s">
        <v>61</v>
      </c>
      <c r="H6" s="166"/>
      <c r="S6" s="144"/>
      <c r="T6" s="143"/>
      <c r="U6" s="143"/>
    </row>
    <row r="7" spans="1:22" ht="5" customHeight="1" thickBot="1" x14ac:dyDescent="0.25">
      <c r="A7" s="166"/>
      <c r="H7" s="166"/>
      <c r="S7" s="145"/>
      <c r="T7" s="145"/>
      <c r="U7" s="145"/>
    </row>
    <row r="8" spans="1:22" x14ac:dyDescent="0.2">
      <c r="A8" s="166" t="s">
        <v>60</v>
      </c>
      <c r="F8" s="180" t="s">
        <v>59</v>
      </c>
      <c r="H8" s="166" t="s">
        <v>58</v>
      </c>
      <c r="L8" s="175" t="s">
        <v>216</v>
      </c>
      <c r="M8" s="174"/>
      <c r="N8" s="174"/>
      <c r="O8" s="174"/>
      <c r="P8" s="174"/>
      <c r="Q8" s="174"/>
      <c r="R8" s="174"/>
      <c r="S8" s="174"/>
      <c r="T8" s="174"/>
      <c r="U8" s="173"/>
    </row>
    <row r="9" spans="1:22" ht="16.25" customHeight="1" x14ac:dyDescent="0.2">
      <c r="A9" s="166"/>
      <c r="F9" s="179"/>
      <c r="H9" s="166"/>
      <c r="L9" s="169"/>
      <c r="M9" s="168"/>
      <c r="N9" s="168"/>
      <c r="O9" s="168"/>
      <c r="P9" s="168"/>
      <c r="Q9" s="168"/>
      <c r="R9" s="168"/>
      <c r="S9" s="168"/>
      <c r="T9" s="168"/>
      <c r="U9" s="167"/>
    </row>
    <row r="10" spans="1:22" ht="5" customHeight="1" thickBot="1" x14ac:dyDescent="0.25"/>
    <row r="11" spans="1:22" x14ac:dyDescent="0.2">
      <c r="A11" s="166" t="s">
        <v>56</v>
      </c>
      <c r="C11" s="178" t="s">
        <v>55</v>
      </c>
      <c r="D11" s="177"/>
      <c r="E11" s="177"/>
      <c r="F11" s="176"/>
      <c r="H11" s="166" t="s">
        <v>54</v>
      </c>
      <c r="L11" s="175" t="s">
        <v>215</v>
      </c>
      <c r="M11" s="174"/>
      <c r="N11" s="174"/>
      <c r="O11" s="174"/>
      <c r="P11" s="174"/>
      <c r="Q11" s="174"/>
      <c r="R11" s="174"/>
      <c r="S11" s="174"/>
      <c r="T11" s="174"/>
      <c r="U11" s="173"/>
    </row>
    <row r="12" spans="1:22" ht="16.25" customHeight="1" x14ac:dyDescent="0.2">
      <c r="A12" s="166"/>
      <c r="C12" s="172"/>
      <c r="D12" s="171"/>
      <c r="E12" s="171"/>
      <c r="F12" s="170"/>
      <c r="H12" s="166"/>
      <c r="L12" s="169"/>
      <c r="M12" s="168"/>
      <c r="N12" s="168"/>
      <c r="O12" s="168"/>
      <c r="P12" s="168"/>
      <c r="Q12" s="168"/>
      <c r="R12" s="168"/>
      <c r="S12" s="168"/>
      <c r="T12" s="168"/>
      <c r="U12" s="167"/>
    </row>
    <row r="13" spans="1:22" x14ac:dyDescent="0.2">
      <c r="A13" s="166"/>
    </row>
    <row r="14" spans="1:22" ht="39.5" customHeight="1" thickBot="1" x14ac:dyDescent="0.25">
      <c r="A14" s="137" t="s">
        <v>52</v>
      </c>
      <c r="B14" s="135" t="s">
        <v>214</v>
      </c>
      <c r="C14" s="135"/>
      <c r="D14" s="135"/>
      <c r="E14" s="135"/>
      <c r="F14" s="135"/>
      <c r="G14" s="135"/>
      <c r="H14" s="165" t="s">
        <v>213</v>
      </c>
      <c r="I14" s="143"/>
      <c r="J14" s="143"/>
      <c r="K14" s="143"/>
      <c r="L14" s="143"/>
      <c r="M14" s="164"/>
      <c r="N14" s="155" t="s">
        <v>212</v>
      </c>
      <c r="O14" s="154"/>
      <c r="P14" s="154"/>
      <c r="Q14" s="164"/>
      <c r="R14" s="163" t="s">
        <v>211</v>
      </c>
      <c r="S14" s="143"/>
      <c r="T14" s="143"/>
      <c r="U14" s="143"/>
    </row>
    <row r="15" spans="1:22" ht="15" customHeight="1" thickBot="1" x14ac:dyDescent="0.25">
      <c r="A15" s="137"/>
      <c r="B15" s="136"/>
      <c r="C15" s="136" t="s">
        <v>203</v>
      </c>
      <c r="D15" s="135"/>
      <c r="E15" s="135"/>
      <c r="H15" s="150" t="s">
        <v>205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2"/>
    </row>
    <row r="16" spans="1:22" ht="16.25" customHeight="1" thickBot="1" x14ac:dyDescent="0.25">
      <c r="A16" s="137"/>
      <c r="B16" s="136"/>
      <c r="C16" s="136" t="s">
        <v>201</v>
      </c>
      <c r="D16" s="135"/>
      <c r="E16" s="135"/>
      <c r="H16" s="151" t="s">
        <v>200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2"/>
    </row>
    <row r="17" spans="1:28" ht="3.5" customHeight="1" thickBot="1" x14ac:dyDescent="0.25">
      <c r="A17" s="137"/>
      <c r="B17" s="136"/>
      <c r="C17" s="136"/>
      <c r="D17" s="135"/>
      <c r="E17" s="135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spans="1:28" ht="47.5" customHeight="1" thickBot="1" x14ac:dyDescent="0.25">
      <c r="A18" s="137"/>
      <c r="B18" s="136"/>
      <c r="C18" s="136" t="s">
        <v>199</v>
      </c>
      <c r="D18" s="135"/>
      <c r="E18" s="135"/>
      <c r="F18" s="135"/>
      <c r="G18" s="135"/>
      <c r="H18" s="140" t="s">
        <v>196</v>
      </c>
      <c r="I18" s="133"/>
      <c r="J18" s="133"/>
      <c r="K18" s="133"/>
      <c r="L18" s="139"/>
      <c r="M18" s="161"/>
      <c r="N18" s="162" t="s">
        <v>195</v>
      </c>
      <c r="O18" s="133"/>
      <c r="P18" s="132"/>
      <c r="Q18" s="161"/>
      <c r="R18" s="140"/>
      <c r="S18" s="133"/>
      <c r="T18" s="133"/>
      <c r="U18" s="139"/>
    </row>
    <row r="19" spans="1:28" ht="15" customHeight="1" thickBot="1" x14ac:dyDescent="0.25">
      <c r="A19" s="137"/>
      <c r="B19" s="136"/>
      <c r="C19" s="136"/>
      <c r="D19" s="135"/>
      <c r="E19" s="135"/>
      <c r="F19" s="135"/>
      <c r="G19" s="135"/>
      <c r="H19" s="160" t="s">
        <v>23</v>
      </c>
      <c r="I19" s="159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</row>
    <row r="20" spans="1:28" ht="53.5" customHeight="1" thickBot="1" x14ac:dyDescent="0.25">
      <c r="A20" s="137"/>
      <c r="B20" s="136"/>
      <c r="C20" s="136"/>
      <c r="D20" s="135"/>
      <c r="E20" s="135"/>
      <c r="F20" s="135"/>
      <c r="G20" s="135"/>
      <c r="H20" s="134"/>
      <c r="I20" s="133"/>
      <c r="J20" s="133"/>
      <c r="K20" s="133"/>
      <c r="L20" s="132"/>
      <c r="M20" s="135"/>
      <c r="N20" s="158"/>
      <c r="O20" s="133"/>
      <c r="P20" s="132"/>
      <c r="Q20" s="135"/>
      <c r="R20" s="134"/>
      <c r="S20" s="133"/>
      <c r="T20" s="133"/>
      <c r="U20" s="132"/>
      <c r="AB20" s="157"/>
    </row>
    <row r="21" spans="1:28" ht="6" customHeight="1" x14ac:dyDescent="0.2">
      <c r="A21" s="137"/>
      <c r="B21" s="136"/>
      <c r="C21" s="136"/>
      <c r="D21" s="135"/>
      <c r="E21" s="13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</row>
    <row r="22" spans="1:28" ht="22.25" customHeight="1" thickBot="1" x14ac:dyDescent="0.25">
      <c r="A22" s="137" t="s">
        <v>45</v>
      </c>
      <c r="B22" s="135" t="s">
        <v>210</v>
      </c>
      <c r="C22" s="135"/>
      <c r="D22" s="135"/>
      <c r="E22" s="135"/>
      <c r="H22" s="155" t="s">
        <v>209</v>
      </c>
      <c r="I22" s="154"/>
      <c r="J22" s="154"/>
      <c r="K22" s="154"/>
      <c r="L22" s="154"/>
      <c r="M22" s="154"/>
      <c r="N22" s="154"/>
      <c r="O22" s="156"/>
      <c r="P22" s="155" t="s">
        <v>208</v>
      </c>
      <c r="Q22" s="154"/>
      <c r="R22" s="154"/>
      <c r="S22" s="154"/>
      <c r="T22" s="154"/>
      <c r="U22" s="154"/>
    </row>
    <row r="23" spans="1:28" ht="16.25" customHeight="1" thickBot="1" x14ac:dyDescent="0.25">
      <c r="A23" s="137"/>
      <c r="B23" s="136"/>
      <c r="C23" s="136" t="s">
        <v>203</v>
      </c>
      <c r="D23" s="135"/>
      <c r="E23" s="135"/>
      <c r="H23" s="152" t="s">
        <v>205</v>
      </c>
      <c r="I23" s="133"/>
      <c r="J23" s="133"/>
      <c r="K23" s="133"/>
      <c r="L23" s="133"/>
      <c r="M23" s="133"/>
      <c r="N23" s="132"/>
      <c r="P23" s="151" t="s">
        <v>202</v>
      </c>
      <c r="Q23" s="133"/>
      <c r="R23" s="133"/>
      <c r="S23" s="133"/>
      <c r="T23" s="133"/>
      <c r="U23" s="132"/>
    </row>
    <row r="24" spans="1:28" ht="16.25" customHeight="1" thickBot="1" x14ac:dyDescent="0.25">
      <c r="A24" s="137"/>
      <c r="B24" s="136"/>
      <c r="C24" s="136" t="s">
        <v>201</v>
      </c>
      <c r="D24" s="135"/>
      <c r="E24" s="135"/>
      <c r="H24" s="152" t="s">
        <v>184</v>
      </c>
      <c r="I24" s="133"/>
      <c r="J24" s="133"/>
      <c r="K24" s="133"/>
      <c r="L24" s="133"/>
      <c r="M24" s="133"/>
      <c r="N24" s="132"/>
      <c r="P24" s="151" t="s">
        <v>184</v>
      </c>
      <c r="Q24" s="133"/>
      <c r="R24" s="133"/>
      <c r="S24" s="133"/>
      <c r="T24" s="133"/>
      <c r="U24" s="132"/>
    </row>
    <row r="25" spans="1:28" ht="35" customHeight="1" thickBot="1" x14ac:dyDescent="0.25">
      <c r="A25" s="137"/>
      <c r="B25" s="136"/>
      <c r="C25" s="136" t="s">
        <v>199</v>
      </c>
      <c r="D25" s="135"/>
      <c r="E25" s="135"/>
      <c r="H25" s="153" t="s">
        <v>194</v>
      </c>
      <c r="I25" s="133"/>
      <c r="J25" s="133"/>
      <c r="K25" s="133"/>
      <c r="L25" s="133"/>
      <c r="M25" s="133"/>
      <c r="N25" s="132"/>
      <c r="P25" s="153" t="s">
        <v>196</v>
      </c>
      <c r="Q25" s="133"/>
      <c r="R25" s="133"/>
      <c r="S25" s="133"/>
      <c r="T25" s="133"/>
      <c r="U25" s="132"/>
    </row>
    <row r="26" spans="1:28" ht="16.25" customHeight="1" thickBot="1" x14ac:dyDescent="0.25">
      <c r="A26" s="137"/>
      <c r="B26" s="136"/>
      <c r="C26" s="136"/>
      <c r="D26" s="135"/>
      <c r="E26" s="135"/>
      <c r="H26" s="138" t="s">
        <v>23</v>
      </c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</row>
    <row r="27" spans="1:28" ht="41.5" customHeight="1" thickBot="1" x14ac:dyDescent="0.25">
      <c r="A27" s="137"/>
      <c r="B27" s="136"/>
      <c r="C27" s="136"/>
      <c r="D27" s="135"/>
      <c r="E27" s="135"/>
      <c r="H27" s="152"/>
      <c r="I27" s="133"/>
      <c r="J27" s="133"/>
      <c r="K27" s="133"/>
      <c r="L27" s="133"/>
      <c r="M27" s="133"/>
      <c r="N27" s="132"/>
      <c r="P27" s="151"/>
      <c r="Q27" s="133"/>
      <c r="R27" s="133"/>
      <c r="S27" s="133"/>
      <c r="T27" s="133"/>
      <c r="U27" s="132"/>
    </row>
    <row r="28" spans="1:28" ht="6" customHeight="1" x14ac:dyDescent="0.2">
      <c r="A28" s="137"/>
      <c r="B28" s="136"/>
      <c r="C28" s="136"/>
      <c r="D28" s="135"/>
      <c r="E28" s="135"/>
      <c r="U28" s="145"/>
    </row>
    <row r="29" spans="1:28" ht="14.5" customHeight="1" thickBot="1" x14ac:dyDescent="0.25">
      <c r="A29" s="137" t="s">
        <v>42</v>
      </c>
      <c r="B29" s="135" t="s">
        <v>207</v>
      </c>
      <c r="C29" s="135"/>
      <c r="D29" s="135"/>
      <c r="E29" s="135"/>
      <c r="K29" s="144"/>
      <c r="L29" s="143"/>
      <c r="M29" s="145"/>
      <c r="N29" s="145"/>
      <c r="O29" s="145"/>
      <c r="P29" s="145"/>
      <c r="Q29" s="145"/>
      <c r="S29" s="144"/>
      <c r="T29" s="143"/>
    </row>
    <row r="30" spans="1:28" ht="15" customHeight="1" thickBot="1" x14ac:dyDescent="0.25">
      <c r="A30" s="137"/>
      <c r="B30" s="136"/>
      <c r="C30" s="136" t="s">
        <v>203</v>
      </c>
      <c r="D30" s="135"/>
      <c r="E30" s="135"/>
      <c r="H30" s="142" t="s">
        <v>202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9"/>
    </row>
    <row r="31" spans="1:28" ht="16.25" customHeight="1" thickBot="1" x14ac:dyDescent="0.25">
      <c r="A31" s="137"/>
      <c r="B31" s="136"/>
      <c r="C31" s="136" t="s">
        <v>201</v>
      </c>
      <c r="D31" s="135"/>
      <c r="E31" s="135"/>
      <c r="H31" s="142" t="s">
        <v>184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9"/>
    </row>
    <row r="32" spans="1:28" ht="18.5" customHeight="1" thickBot="1" x14ac:dyDescent="0.25">
      <c r="A32" s="137"/>
      <c r="B32" s="136"/>
      <c r="C32" s="136" t="s">
        <v>199</v>
      </c>
      <c r="D32" s="141"/>
      <c r="E32" s="141"/>
      <c r="F32" s="141"/>
      <c r="G32" s="141"/>
      <c r="H32" s="140" t="s">
        <v>192</v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9"/>
    </row>
    <row r="33" spans="1:21" ht="16.25" customHeight="1" thickBot="1" x14ac:dyDescent="0.25">
      <c r="A33" s="137"/>
      <c r="B33" s="136"/>
      <c r="C33" s="136"/>
      <c r="D33" s="135"/>
      <c r="E33" s="135"/>
      <c r="H33" s="138" t="s">
        <v>23</v>
      </c>
      <c r="I33" s="138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31"/>
      <c r="U33" s="131"/>
    </row>
    <row r="34" spans="1:21" ht="53.5" customHeight="1" thickBot="1" x14ac:dyDescent="0.25">
      <c r="A34" s="137"/>
      <c r="B34" s="136"/>
      <c r="C34" s="136"/>
      <c r="D34" s="135"/>
      <c r="E34" s="135"/>
      <c r="H34" s="134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2"/>
    </row>
    <row r="35" spans="1:21" ht="6" customHeight="1" x14ac:dyDescent="0.2">
      <c r="A35" s="137"/>
      <c r="B35" s="136"/>
      <c r="C35" s="136"/>
      <c r="D35" s="135"/>
      <c r="E35" s="135"/>
      <c r="U35" s="145"/>
    </row>
    <row r="36" spans="1:21" ht="14.5" customHeight="1" thickBot="1" x14ac:dyDescent="0.25">
      <c r="A36" s="137" t="s">
        <v>40</v>
      </c>
      <c r="B36" s="135" t="s">
        <v>206</v>
      </c>
      <c r="C36" s="135"/>
      <c r="D36" s="135"/>
      <c r="E36" s="135"/>
      <c r="K36" s="144"/>
      <c r="L36" s="143"/>
      <c r="M36" s="145"/>
      <c r="N36" s="145"/>
      <c r="O36" s="145"/>
      <c r="P36" s="145"/>
      <c r="Q36" s="145"/>
      <c r="S36" s="144"/>
      <c r="T36" s="143"/>
    </row>
    <row r="37" spans="1:21" ht="15" customHeight="1" thickBot="1" x14ac:dyDescent="0.25">
      <c r="A37" s="137"/>
      <c r="B37" s="136"/>
      <c r="C37" s="136" t="s">
        <v>203</v>
      </c>
      <c r="D37" s="135"/>
      <c r="E37" s="135"/>
      <c r="H37" s="150" t="s">
        <v>205</v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2"/>
    </row>
    <row r="38" spans="1:21" ht="16.25" customHeight="1" thickBot="1" x14ac:dyDescent="0.25">
      <c r="A38" s="137"/>
      <c r="B38" s="136"/>
      <c r="C38" s="136" t="s">
        <v>201</v>
      </c>
      <c r="D38" s="135"/>
      <c r="E38" s="135"/>
      <c r="H38" s="149" t="s">
        <v>184</v>
      </c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6"/>
    </row>
    <row r="39" spans="1:21" ht="19.25" customHeight="1" thickBot="1" x14ac:dyDescent="0.25">
      <c r="A39" s="137"/>
      <c r="B39" s="136"/>
      <c r="C39" s="136" t="s">
        <v>199</v>
      </c>
      <c r="D39" s="141"/>
      <c r="E39" s="141"/>
      <c r="F39" s="141"/>
      <c r="G39" s="141"/>
      <c r="H39" s="148" t="s">
        <v>191</v>
      </c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6"/>
    </row>
    <row r="40" spans="1:21" ht="16.25" customHeight="1" thickBot="1" x14ac:dyDescent="0.25">
      <c r="A40" s="137"/>
      <c r="B40" s="136"/>
      <c r="C40" s="136"/>
      <c r="D40" s="135"/>
      <c r="E40" s="135"/>
      <c r="H40" s="138" t="s">
        <v>23</v>
      </c>
      <c r="I40" s="138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31"/>
      <c r="U40" s="131"/>
    </row>
    <row r="41" spans="1:21" ht="53.5" customHeight="1" thickBot="1" x14ac:dyDescent="0.25">
      <c r="A41" s="137"/>
      <c r="B41" s="136"/>
      <c r="C41" s="136"/>
      <c r="D41" s="135"/>
      <c r="E41" s="135"/>
      <c r="H41" s="134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2"/>
    </row>
    <row r="42" spans="1:21" ht="6" customHeight="1" x14ac:dyDescent="0.2">
      <c r="A42" s="137"/>
      <c r="B42" s="136"/>
      <c r="C42" s="136"/>
      <c r="D42" s="135"/>
      <c r="E42" s="135"/>
      <c r="U42" s="145"/>
    </row>
    <row r="43" spans="1:21" ht="14.5" customHeight="1" thickBot="1" x14ac:dyDescent="0.25">
      <c r="A43" s="137" t="s">
        <v>37</v>
      </c>
      <c r="B43" s="135" t="s">
        <v>204</v>
      </c>
      <c r="C43" s="135"/>
      <c r="D43" s="135"/>
      <c r="E43" s="135"/>
      <c r="K43" s="144"/>
      <c r="L43" s="143"/>
      <c r="M43" s="145"/>
      <c r="N43" s="145"/>
      <c r="O43" s="145"/>
      <c r="P43" s="145"/>
      <c r="Q43" s="145"/>
      <c r="S43" s="144"/>
      <c r="T43" s="143"/>
    </row>
    <row r="44" spans="1:21" ht="15" customHeight="1" thickBot="1" x14ac:dyDescent="0.25">
      <c r="A44" s="137"/>
      <c r="B44" s="136"/>
      <c r="C44" s="136" t="s">
        <v>203</v>
      </c>
      <c r="D44" s="135"/>
      <c r="E44" s="135"/>
      <c r="H44" s="142" t="s">
        <v>202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9"/>
    </row>
    <row r="45" spans="1:21" ht="16.25" customHeight="1" thickBot="1" x14ac:dyDescent="0.25">
      <c r="A45" s="137"/>
      <c r="B45" s="136"/>
      <c r="C45" s="136" t="s">
        <v>201</v>
      </c>
      <c r="D45" s="135"/>
      <c r="E45" s="135"/>
      <c r="H45" s="142" t="s">
        <v>200</v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9"/>
    </row>
    <row r="46" spans="1:21" ht="19.25" customHeight="1" thickBot="1" x14ac:dyDescent="0.25">
      <c r="A46" s="137"/>
      <c r="B46" s="136"/>
      <c r="C46" s="136" t="s">
        <v>199</v>
      </c>
      <c r="D46" s="141"/>
      <c r="E46" s="141"/>
      <c r="F46" s="141"/>
      <c r="G46" s="141"/>
      <c r="H46" s="140" t="s">
        <v>193</v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9"/>
    </row>
    <row r="47" spans="1:21" ht="16.25" customHeight="1" thickBot="1" x14ac:dyDescent="0.25">
      <c r="A47" s="137"/>
      <c r="B47" s="136"/>
      <c r="C47" s="136"/>
      <c r="D47" s="135"/>
      <c r="E47" s="135"/>
      <c r="H47" s="138" t="s">
        <v>23</v>
      </c>
      <c r="I47" s="138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31"/>
      <c r="U47" s="131"/>
    </row>
    <row r="48" spans="1:21" ht="53.5" customHeight="1" thickBot="1" x14ac:dyDescent="0.25">
      <c r="A48" s="137"/>
      <c r="B48" s="136"/>
      <c r="C48" s="136"/>
      <c r="D48" s="135"/>
      <c r="E48" s="135"/>
      <c r="H48" s="134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2"/>
    </row>
    <row r="49" spans="1:25" x14ac:dyDescent="0.2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</row>
    <row r="50" spans="1:25" x14ac:dyDescent="0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</row>
    <row r="51" spans="1:25" ht="27" customHeight="1" x14ac:dyDescent="0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</row>
    <row r="52" spans="1:25" hidden="1" x14ac:dyDescent="0.2"/>
    <row r="53" spans="1:25" hidden="1" x14ac:dyDescent="0.2">
      <c r="B53" s="131" t="s">
        <v>198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 t="s">
        <v>197</v>
      </c>
      <c r="W53" s="131"/>
      <c r="X53" s="131"/>
      <c r="Y53" s="131"/>
    </row>
    <row r="54" spans="1:25" hidden="1" x14ac:dyDescent="0.2"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</row>
    <row r="55" spans="1:25" hidden="1" x14ac:dyDescent="0.2"/>
    <row r="56" spans="1:25" ht="18.5" hidden="1" customHeight="1" x14ac:dyDescent="0.2">
      <c r="B56" s="130" t="s">
        <v>196</v>
      </c>
    </row>
    <row r="57" spans="1:25" hidden="1" x14ac:dyDescent="0.2">
      <c r="B57" s="129" t="s">
        <v>11</v>
      </c>
    </row>
    <row r="58" spans="1:25" hidden="1" x14ac:dyDescent="0.2"/>
    <row r="59" spans="1:25" hidden="1" x14ac:dyDescent="0.2">
      <c r="B59" s="130" t="s">
        <v>195</v>
      </c>
    </row>
    <row r="60" spans="1:25" hidden="1" x14ac:dyDescent="0.2">
      <c r="B60" s="129" t="s">
        <v>11</v>
      </c>
    </row>
    <row r="61" spans="1:25" hidden="1" x14ac:dyDescent="0.2"/>
    <row r="62" spans="1:25" hidden="1" x14ac:dyDescent="0.2">
      <c r="B62" s="130" t="s">
        <v>194</v>
      </c>
    </row>
    <row r="63" spans="1:25" hidden="1" x14ac:dyDescent="0.2">
      <c r="B63" s="129" t="s">
        <v>11</v>
      </c>
    </row>
    <row r="64" spans="1:25" hidden="1" x14ac:dyDescent="0.2"/>
    <row r="65" spans="2:2" hidden="1" x14ac:dyDescent="0.2">
      <c r="B65" s="130" t="s">
        <v>193</v>
      </c>
    </row>
    <row r="66" spans="2:2" hidden="1" x14ac:dyDescent="0.2">
      <c r="B66" s="129" t="s">
        <v>11</v>
      </c>
    </row>
    <row r="67" spans="2:2" hidden="1" x14ac:dyDescent="0.2"/>
    <row r="68" spans="2:2" hidden="1" x14ac:dyDescent="0.2">
      <c r="B68" s="130" t="s">
        <v>192</v>
      </c>
    </row>
    <row r="69" spans="2:2" hidden="1" x14ac:dyDescent="0.2">
      <c r="B69" s="129" t="s">
        <v>11</v>
      </c>
    </row>
    <row r="70" spans="2:2" hidden="1" x14ac:dyDescent="0.2"/>
    <row r="71" spans="2:2" hidden="1" x14ac:dyDescent="0.2">
      <c r="B71" s="130" t="s">
        <v>191</v>
      </c>
    </row>
    <row r="72" spans="2:2" hidden="1" x14ac:dyDescent="0.2">
      <c r="B72" s="129" t="s">
        <v>11</v>
      </c>
    </row>
    <row r="73" spans="2:2" hidden="1" x14ac:dyDescent="0.2"/>
  </sheetData>
  <mergeCells count="47">
    <mergeCell ref="K43:L43"/>
    <mergeCell ref="S43:T43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29:L29"/>
    <mergeCell ref="S29:T29"/>
    <mergeCell ref="H30:U30"/>
    <mergeCell ref="H31:U31"/>
    <mergeCell ref="H32:U32"/>
    <mergeCell ref="H34:U34"/>
    <mergeCell ref="H24:N24"/>
    <mergeCell ref="P24:U24"/>
    <mergeCell ref="H25:N25"/>
    <mergeCell ref="P25:U25"/>
    <mergeCell ref="H27:N27"/>
    <mergeCell ref="P27:U27"/>
    <mergeCell ref="H20:L20"/>
    <mergeCell ref="N20:P20"/>
    <mergeCell ref="R20:U20"/>
    <mergeCell ref="H22:N22"/>
    <mergeCell ref="P22:U22"/>
    <mergeCell ref="H23:N23"/>
    <mergeCell ref="P23:U23"/>
    <mergeCell ref="N14:P14"/>
    <mergeCell ref="R14:U14"/>
    <mergeCell ref="H16:U16"/>
    <mergeCell ref="H18:L18"/>
    <mergeCell ref="N18:P18"/>
    <mergeCell ref="R18:U18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</mergeCells>
  <conditionalFormatting sqref="A8:E9">
    <cfRule type="expression" dxfId="68" priority="17">
      <formula>CELL("protect", INDIRECT(ADDRESS(ROW(), COLUMN())))=0</formula>
    </cfRule>
  </conditionalFormatting>
  <conditionalFormatting sqref="A22:H25 O22:P25">
    <cfRule type="expression" dxfId="67" priority="2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V22:XFD25 A27:H27 O27:P27 V27:XFD27 W49:XFD49 X50:XFD51">
    <cfRule type="expression" dxfId="66" priority="18">
      <formula>CELL("protect", INDIRECT(ADDRESS(ROW(), COLUMN())))=0</formula>
    </cfRule>
  </conditionalFormatting>
  <conditionalFormatting sqref="A10:XFD10">
    <cfRule type="expression" dxfId="65" priority="16">
      <formula>CELL("protect", INDIRECT(ADDRESS(ROW(), COLUMN())))=0</formula>
    </cfRule>
  </conditionalFormatting>
  <conditionalFormatting sqref="A26:XFD26">
    <cfRule type="expression" dxfId="64" priority="9">
      <formula>CELL("protect", INDIRECT(ADDRESS(ROW(), COLUMN())))=0</formula>
    </cfRule>
  </conditionalFormatting>
  <conditionalFormatting sqref="A28:XFD48">
    <cfRule type="expression" dxfId="63" priority="1">
      <formula>CELL("protect", INDIRECT(ADDRESS(ROW(), COLUMN())))=0</formula>
    </cfRule>
  </conditionalFormatting>
  <conditionalFormatting sqref="B56:B57">
    <cfRule type="expression" dxfId="62" priority="15">
      <formula>CELL("protect", INDIRECT(ADDRESS(ROW(), COLUMN())))=0</formula>
    </cfRule>
  </conditionalFormatting>
  <conditionalFormatting sqref="B59:B60">
    <cfRule type="expression" dxfId="61" priority="14">
      <formula>CELL("protect", INDIRECT(ADDRESS(ROW(), COLUMN())))=0</formula>
    </cfRule>
  </conditionalFormatting>
  <conditionalFormatting sqref="B62:B63">
    <cfRule type="expression" dxfId="60" priority="13">
      <formula>CELL("protect", INDIRECT(ADDRESS(ROW(), COLUMN())))=0</formula>
    </cfRule>
  </conditionalFormatting>
  <conditionalFormatting sqref="B65:B66">
    <cfRule type="expression" dxfId="59" priority="12">
      <formula>CELL("protect", INDIRECT(ADDRESS(ROW(), COLUMN())))=0</formula>
    </cfRule>
  </conditionalFormatting>
  <conditionalFormatting sqref="B68:B69">
    <cfRule type="expression" dxfId="58" priority="4">
      <formula>CELL("protect", INDIRECT(ADDRESS(ROW(), COLUMN())))=0</formula>
    </cfRule>
  </conditionalFormatting>
  <conditionalFormatting sqref="B71:B72">
    <cfRule type="expression" dxfId="57" priority="3">
      <formula>CELL("protect", INDIRECT(ADDRESS(ROW(), COLUMN())))=0</formula>
    </cfRule>
  </conditionalFormatting>
  <conditionalFormatting sqref="H34">
    <cfRule type="expression" dxfId="56" priority="5">
      <formula>CELL("protect", INDIRECT(ADDRESS(ROW(), COLUMN())))=0</formula>
    </cfRule>
  </conditionalFormatting>
  <conditionalFormatting sqref="H41">
    <cfRule type="expression" dxfId="55" priority="7">
      <formula>CELL("protect", INDIRECT(ADDRESS(ROW(), COLUMN())))=0</formula>
    </cfRule>
  </conditionalFormatting>
  <conditionalFormatting sqref="H48">
    <cfRule type="expression" dxfId="54" priority="10">
      <formula>CELL("protect", INDIRECT(ADDRESS(ROW(), COLUMN())))=0</formula>
    </cfRule>
  </conditionalFormatting>
  <conditionalFormatting sqref="H33:S33">
    <cfRule type="expression" dxfId="53" priority="6">
      <formula>CELL("protect", INDIRECT(ADDRESS(ROW(), COLUMN())))=0</formula>
    </cfRule>
  </conditionalFormatting>
  <conditionalFormatting sqref="H40:S40">
    <cfRule type="expression" dxfId="52" priority="8">
      <formula>CELL("protect", INDIRECT(ADDRESS(ROW(), COLUMN())))=0</formula>
    </cfRule>
  </conditionalFormatting>
  <conditionalFormatting sqref="H47:S47">
    <cfRule type="expression" dxfId="51" priority="11">
      <formula>CELL("protect", INDIRECT(ADDRESS(ROW(), COLUMN())))=0</formula>
    </cfRule>
  </conditionalFormatting>
  <dataValidations count="6">
    <dataValidation type="list" allowBlank="1" showInputMessage="1" showErrorMessage="1" sqref="H18:L18 P25:U25" xr:uid="{E1744717-0528-6C43-B5D1-9E4FDD2ACBB5}">
      <formula1>$B$56:$B$57</formula1>
    </dataValidation>
    <dataValidation type="list" allowBlank="1" showInputMessage="1" showErrorMessage="1" sqref="R18:U18 N18:O18" xr:uid="{6FD54301-9FB6-E843-92DC-70FB768C0B52}">
      <formula1>$B$59:$B$60</formula1>
    </dataValidation>
    <dataValidation type="list" allowBlank="1" showInputMessage="1" showErrorMessage="1" sqref="H25" xr:uid="{89F2A4E5-0B12-EA40-B198-EFCF83B055F3}">
      <formula1>$B$62:$B$63</formula1>
    </dataValidation>
    <dataValidation type="list" allowBlank="1" showInputMessage="1" showErrorMessage="1" sqref="H46:U46" xr:uid="{C880AAA1-DEA9-764E-BE08-DC1C1F7C2CC4}">
      <formula1>$B$65:$B$66</formula1>
    </dataValidation>
    <dataValidation type="list" allowBlank="1" showInputMessage="1" showErrorMessage="1" sqref="H32:U32" xr:uid="{24E4F27D-927A-4547-BE24-453901E3CCB2}">
      <formula1>$B$68:$B$69</formula1>
    </dataValidation>
    <dataValidation type="list" allowBlank="1" showInputMessage="1" showErrorMessage="1" sqref="H39:U39" xr:uid="{B3B7BCEC-9B4F-574E-889F-12E38F9526D5}">
      <formula1>$B$71:$B$72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5C9-EB30-624D-9226-62FCE189ADFA}">
  <dimension ref="A1:O56"/>
  <sheetViews>
    <sheetView view="pageBreakPreview" topLeftCell="A11" zoomScale="156" zoomScaleNormal="100" zoomScaleSheetLayoutView="110" workbookViewId="0">
      <selection activeCell="T33" sqref="T33"/>
    </sheetView>
  </sheetViews>
  <sheetFormatPr baseColWidth="10" defaultRowHeight="15" x14ac:dyDescent="0.2"/>
  <cols>
    <col min="1" max="1" width="2.33203125" style="97" customWidth="1"/>
    <col min="2" max="2" width="6.33203125" style="97" customWidth="1"/>
    <col min="3" max="3" width="10.83203125" style="97"/>
    <col min="4" max="4" width="9.5" style="97" customWidth="1"/>
    <col min="5" max="5" width="24.6640625" style="97" customWidth="1"/>
    <col min="6" max="6" width="3.33203125" style="97" customWidth="1"/>
    <col min="7" max="7" width="2.83203125" style="97" customWidth="1"/>
    <col min="8" max="8" width="1.1640625" style="97" customWidth="1"/>
    <col min="9" max="9" width="14.33203125" style="97" customWidth="1"/>
    <col min="10" max="10" width="3.33203125" style="97" customWidth="1"/>
    <col min="11" max="11" width="7" style="97" customWidth="1"/>
    <col min="12" max="12" width="2.1640625" style="97" customWidth="1"/>
    <col min="13" max="13" width="15.6640625" style="97" customWidth="1"/>
    <col min="14" max="14" width="3.33203125" style="97" customWidth="1"/>
    <col min="15" max="16384" width="10.83203125" style="97"/>
  </cols>
  <sheetData>
    <row r="1" spans="1:15" ht="16" x14ac:dyDescent="0.2">
      <c r="A1" s="36" t="s">
        <v>190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4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7" t="s">
        <v>189</v>
      </c>
      <c r="N2" s="127"/>
      <c r="O2" s="125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26" t="s">
        <v>188</v>
      </c>
      <c r="N3" s="126"/>
      <c r="O3" s="125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6" thickBot="1" x14ac:dyDescent="0.25">
      <c r="A5" s="4" t="s">
        <v>61</v>
      </c>
      <c r="B5" s="1"/>
      <c r="C5" s="1"/>
      <c r="D5" s="1"/>
      <c r="E5" s="1"/>
      <c r="F5" s="1"/>
      <c r="G5" s="4"/>
      <c r="H5" s="1"/>
      <c r="I5" s="1"/>
      <c r="J5" s="1"/>
      <c r="K5" s="1"/>
      <c r="L5" s="1"/>
      <c r="M5" s="1"/>
      <c r="N5" s="1"/>
      <c r="O5" s="1"/>
    </row>
    <row r="6" spans="1:15" ht="16" thickBot="1" x14ac:dyDescent="0.25">
      <c r="A6" s="4" t="s">
        <v>60</v>
      </c>
      <c r="B6" s="1"/>
      <c r="C6" s="124"/>
      <c r="D6" s="124"/>
      <c r="E6" s="11" t="s">
        <v>59</v>
      </c>
      <c r="F6" s="1"/>
      <c r="G6" s="4" t="s">
        <v>58</v>
      </c>
      <c r="H6" s="1"/>
      <c r="I6" s="1"/>
      <c r="J6" s="1"/>
      <c r="K6" s="22" t="s">
        <v>187</v>
      </c>
      <c r="L6" s="21"/>
      <c r="M6" s="21"/>
      <c r="N6" s="20"/>
      <c r="O6" s="1"/>
    </row>
    <row r="7" spans="1:15" ht="16" thickBot="1" x14ac:dyDescent="0.25">
      <c r="A7" s="4" t="s">
        <v>56</v>
      </c>
      <c r="B7" s="1"/>
      <c r="C7" s="22" t="s">
        <v>55</v>
      </c>
      <c r="D7" s="20"/>
      <c r="E7" s="123"/>
      <c r="F7" s="1"/>
      <c r="G7" s="4" t="s">
        <v>54</v>
      </c>
      <c r="H7" s="1"/>
      <c r="I7" s="1"/>
      <c r="J7" s="22" t="s">
        <v>186</v>
      </c>
      <c r="K7" s="21"/>
      <c r="L7" s="21"/>
      <c r="M7" s="21"/>
      <c r="N7" s="20"/>
      <c r="O7" s="1"/>
    </row>
    <row r="8" spans="1:15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</row>
    <row r="9" spans="1:15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spans="1:15" ht="16" thickBot="1" x14ac:dyDescent="0.25">
      <c r="A10" s="112" t="s">
        <v>52</v>
      </c>
      <c r="B10" s="98" t="s">
        <v>51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1:15" ht="16" thickBot="1" x14ac:dyDescent="0.25">
      <c r="A11" s="112"/>
      <c r="B11" s="107"/>
      <c r="C11" s="107" t="s">
        <v>49</v>
      </c>
      <c r="D11" s="98"/>
      <c r="E11" s="98"/>
      <c r="F11" s="98"/>
      <c r="G11" s="106" t="s">
        <v>185</v>
      </c>
      <c r="H11" s="105"/>
      <c r="I11" s="105"/>
      <c r="J11" s="105"/>
      <c r="K11" s="105"/>
      <c r="L11" s="105"/>
      <c r="M11" s="104"/>
      <c r="N11" s="102"/>
      <c r="O11" s="98"/>
    </row>
    <row r="12" spans="1:15" ht="16" thickBot="1" x14ac:dyDescent="0.25">
      <c r="A12" s="112"/>
      <c r="B12" s="107"/>
      <c r="C12" s="107" t="s">
        <v>47</v>
      </c>
      <c r="D12" s="98"/>
      <c r="E12" s="98"/>
      <c r="F12" s="98"/>
      <c r="G12" s="106" t="s">
        <v>184</v>
      </c>
      <c r="H12" s="105"/>
      <c r="I12" s="105"/>
      <c r="J12" s="105"/>
      <c r="K12" s="105"/>
      <c r="L12" s="105"/>
      <c r="M12" s="104"/>
      <c r="N12" s="102"/>
      <c r="O12" s="98"/>
    </row>
    <row r="13" spans="1:15" ht="16" thickBot="1" x14ac:dyDescent="0.25">
      <c r="A13" s="112"/>
      <c r="B13" s="107"/>
      <c r="C13" s="107"/>
      <c r="D13" s="98"/>
      <c r="E13" s="98"/>
      <c r="F13" s="98"/>
      <c r="G13" s="122"/>
      <c r="H13" s="122"/>
      <c r="I13" s="122"/>
      <c r="J13" s="122"/>
      <c r="K13" s="122"/>
      <c r="L13" s="122"/>
      <c r="M13" s="122"/>
      <c r="N13" s="102"/>
      <c r="O13" s="98"/>
    </row>
    <row r="14" spans="1:15" ht="16" thickBot="1" x14ac:dyDescent="0.25">
      <c r="A14" s="112" t="s">
        <v>45</v>
      </c>
      <c r="B14" s="98" t="s">
        <v>44</v>
      </c>
      <c r="C14" s="98"/>
      <c r="D14" s="98"/>
      <c r="E14" s="98"/>
      <c r="F14" s="98"/>
      <c r="G14" s="106" t="s">
        <v>183</v>
      </c>
      <c r="H14" s="105"/>
      <c r="I14" s="105"/>
      <c r="J14" s="105"/>
      <c r="K14" s="105"/>
      <c r="L14" s="105"/>
      <c r="M14" s="104"/>
      <c r="N14" s="102"/>
      <c r="O14" s="98"/>
    </row>
    <row r="15" spans="1:15" ht="16" thickBot="1" x14ac:dyDescent="0.25">
      <c r="A15" s="112"/>
      <c r="B15" s="98"/>
      <c r="C15" s="98"/>
      <c r="D15" s="98"/>
      <c r="E15" s="98"/>
      <c r="F15" s="98"/>
      <c r="G15" s="102"/>
      <c r="H15" s="102"/>
      <c r="I15" s="102"/>
      <c r="J15" s="102"/>
      <c r="K15" s="102"/>
      <c r="L15" s="102"/>
      <c r="M15" s="102"/>
      <c r="N15" s="102"/>
      <c r="O15" s="98"/>
    </row>
    <row r="16" spans="1:15" ht="16" thickBot="1" x14ac:dyDescent="0.25">
      <c r="A16" s="112" t="s">
        <v>42</v>
      </c>
      <c r="B16" s="98" t="s">
        <v>41</v>
      </c>
      <c r="C16" s="98"/>
      <c r="D16" s="98"/>
      <c r="E16" s="98"/>
      <c r="F16" s="98"/>
      <c r="G16" s="121" t="s">
        <v>182</v>
      </c>
      <c r="H16" s="120"/>
      <c r="I16" s="120"/>
      <c r="J16" s="120"/>
      <c r="K16" s="120"/>
      <c r="L16" s="120"/>
      <c r="M16" s="119"/>
      <c r="N16" s="118"/>
      <c r="O16" s="98"/>
    </row>
    <row r="17" spans="1:15" ht="16" thickBot="1" x14ac:dyDescent="0.25">
      <c r="A17" s="112"/>
      <c r="B17" s="98"/>
      <c r="C17" s="98"/>
      <c r="D17" s="98"/>
      <c r="E17" s="98"/>
      <c r="F17" s="98"/>
      <c r="G17" s="98" t="s">
        <v>23</v>
      </c>
      <c r="H17" s="98"/>
      <c r="I17" s="103"/>
      <c r="J17" s="103"/>
      <c r="K17" s="103"/>
      <c r="L17" s="103"/>
      <c r="M17" s="103"/>
      <c r="N17" s="103"/>
      <c r="O17" s="98"/>
    </row>
    <row r="18" spans="1:15" ht="16" thickBot="1" x14ac:dyDescent="0.25">
      <c r="A18" s="112"/>
      <c r="B18" s="98"/>
      <c r="C18" s="98"/>
      <c r="D18" s="98"/>
      <c r="E18" s="98"/>
      <c r="F18" s="98"/>
      <c r="G18" s="121"/>
      <c r="H18" s="120"/>
      <c r="I18" s="120"/>
      <c r="J18" s="120"/>
      <c r="K18" s="120"/>
      <c r="L18" s="120"/>
      <c r="M18" s="120"/>
      <c r="N18" s="119"/>
      <c r="O18" s="98"/>
    </row>
    <row r="19" spans="1:15" ht="16" thickBot="1" x14ac:dyDescent="0.25">
      <c r="A19" s="112"/>
      <c r="B19" s="98"/>
      <c r="C19" s="98"/>
      <c r="D19" s="98"/>
      <c r="E19" s="98"/>
      <c r="F19" s="98"/>
      <c r="G19" s="102"/>
      <c r="H19" s="102"/>
      <c r="I19" s="102"/>
      <c r="J19" s="102"/>
      <c r="K19" s="102"/>
      <c r="L19" s="102"/>
      <c r="M19" s="102"/>
      <c r="N19" s="102"/>
      <c r="O19" s="98"/>
    </row>
    <row r="20" spans="1:15" ht="16" thickBot="1" x14ac:dyDescent="0.25">
      <c r="A20" s="112" t="s">
        <v>40</v>
      </c>
      <c r="B20" s="98" t="s">
        <v>181</v>
      </c>
      <c r="C20" s="98"/>
      <c r="D20" s="98"/>
      <c r="E20" s="98"/>
      <c r="F20" s="98"/>
      <c r="G20" s="106">
        <v>25</v>
      </c>
      <c r="H20" s="105"/>
      <c r="I20" s="105"/>
      <c r="J20" s="105"/>
      <c r="K20" s="105"/>
      <c r="L20" s="104"/>
      <c r="M20" s="103" t="s">
        <v>28</v>
      </c>
      <c r="N20" s="102"/>
      <c r="O20" s="98"/>
    </row>
    <row r="21" spans="1:15" ht="17" thickBot="1" x14ac:dyDescent="0.25">
      <c r="A21" s="112" t="s">
        <v>37</v>
      </c>
      <c r="B21" s="98" t="s">
        <v>180</v>
      </c>
      <c r="C21" s="98"/>
      <c r="D21" s="98"/>
      <c r="E21" s="98"/>
      <c r="F21" s="98"/>
      <c r="G21" s="106">
        <v>35.700000000000003</v>
      </c>
      <c r="H21" s="105"/>
      <c r="I21" s="105"/>
      <c r="J21" s="105"/>
      <c r="K21" s="105"/>
      <c r="L21" s="104"/>
      <c r="M21" s="98" t="s">
        <v>179</v>
      </c>
      <c r="N21" s="102"/>
      <c r="O21" s="98"/>
    </row>
    <row r="22" spans="1:15" ht="16" thickBot="1" x14ac:dyDescent="0.25">
      <c r="A22" s="112"/>
      <c r="B22" s="98"/>
      <c r="C22" s="107" t="s">
        <v>178</v>
      </c>
      <c r="D22" s="98"/>
      <c r="E22" s="98"/>
      <c r="F22" s="98"/>
      <c r="G22" s="106" t="s">
        <v>177</v>
      </c>
      <c r="H22" s="105"/>
      <c r="I22" s="105"/>
      <c r="J22" s="105"/>
      <c r="K22" s="105"/>
      <c r="L22" s="104"/>
      <c r="M22" s="103"/>
      <c r="N22" s="102"/>
      <c r="O22" s="98"/>
    </row>
    <row r="23" spans="1:15" ht="16" thickBot="1" x14ac:dyDescent="0.25">
      <c r="A23" s="112"/>
      <c r="B23" s="98"/>
      <c r="C23" s="107" t="s">
        <v>176</v>
      </c>
      <c r="D23" s="98"/>
      <c r="E23" s="98"/>
      <c r="F23" s="98"/>
      <c r="G23" s="106">
        <v>7</v>
      </c>
      <c r="H23" s="105"/>
      <c r="I23" s="105"/>
      <c r="J23" s="105"/>
      <c r="K23" s="105"/>
      <c r="L23" s="104"/>
      <c r="M23" s="103"/>
      <c r="N23" s="102"/>
      <c r="O23" s="98"/>
    </row>
    <row r="24" spans="1:15" ht="16" thickBot="1" x14ac:dyDescent="0.25">
      <c r="A24" s="112"/>
      <c r="B24" s="98"/>
      <c r="C24" s="107" t="s">
        <v>175</v>
      </c>
      <c r="D24" s="98"/>
      <c r="E24" s="98"/>
      <c r="F24" s="98"/>
      <c r="G24" s="106">
        <v>2.65</v>
      </c>
      <c r="H24" s="105"/>
      <c r="I24" s="105"/>
      <c r="J24" s="105"/>
      <c r="K24" s="105"/>
      <c r="L24" s="104"/>
      <c r="M24" s="103" t="s">
        <v>15</v>
      </c>
      <c r="N24" s="102"/>
      <c r="O24" s="98"/>
    </row>
    <row r="25" spans="1:15" ht="16" thickBot="1" x14ac:dyDescent="0.25">
      <c r="A25" s="112"/>
      <c r="B25" s="98"/>
      <c r="C25" s="107"/>
      <c r="D25" s="98"/>
      <c r="E25" s="98"/>
      <c r="F25" s="98"/>
      <c r="G25" s="113"/>
      <c r="H25" s="113"/>
      <c r="I25" s="113"/>
      <c r="J25" s="113"/>
      <c r="K25" s="113"/>
      <c r="L25" s="113"/>
      <c r="M25" s="103"/>
      <c r="N25" s="102"/>
      <c r="O25" s="98"/>
    </row>
    <row r="26" spans="1:15" ht="16" thickBot="1" x14ac:dyDescent="0.25">
      <c r="A26" s="112" t="s">
        <v>35</v>
      </c>
      <c r="B26" s="98" t="s">
        <v>174</v>
      </c>
      <c r="C26" s="118"/>
      <c r="D26" s="118"/>
      <c r="E26" s="118"/>
      <c r="F26" s="118"/>
      <c r="G26" s="98" t="s">
        <v>17</v>
      </c>
      <c r="H26" s="98"/>
      <c r="I26" s="15">
        <v>6.88</v>
      </c>
      <c r="J26" s="98" t="s">
        <v>15</v>
      </c>
      <c r="K26" s="111"/>
      <c r="L26" s="111" t="s">
        <v>16</v>
      </c>
      <c r="M26" s="15">
        <v>7.02</v>
      </c>
      <c r="N26" s="98" t="s">
        <v>15</v>
      </c>
      <c r="O26" s="98"/>
    </row>
    <row r="27" spans="1:15" ht="16" thickBot="1" x14ac:dyDescent="0.25">
      <c r="A27" s="112"/>
      <c r="B27" s="98"/>
      <c r="C27" s="98"/>
      <c r="D27" s="98"/>
      <c r="E27" s="98"/>
      <c r="F27" s="98"/>
      <c r="G27" s="118"/>
      <c r="H27" s="118"/>
      <c r="I27" s="118"/>
      <c r="J27" s="118"/>
      <c r="K27" s="118"/>
      <c r="L27" s="118"/>
      <c r="M27" s="103"/>
      <c r="N27" s="102"/>
      <c r="O27" s="98"/>
    </row>
    <row r="28" spans="1:15" ht="16" thickBot="1" x14ac:dyDescent="0.25">
      <c r="A28" s="112" t="s">
        <v>33</v>
      </c>
      <c r="B28" s="98" t="s">
        <v>173</v>
      </c>
      <c r="C28" s="98"/>
      <c r="D28" s="98" t="s">
        <v>159</v>
      </c>
      <c r="E28" s="98"/>
      <c r="F28" s="98"/>
      <c r="G28" s="106" t="s">
        <v>169</v>
      </c>
      <c r="H28" s="105"/>
      <c r="I28" s="105"/>
      <c r="J28" s="105"/>
      <c r="K28" s="104"/>
      <c r="L28" s="116" t="s">
        <v>157</v>
      </c>
      <c r="M28" s="115">
        <v>0.6</v>
      </c>
      <c r="N28" s="102" t="s">
        <v>15</v>
      </c>
      <c r="O28" s="98"/>
    </row>
    <row r="29" spans="1:15" ht="16" thickBot="1" x14ac:dyDescent="0.25">
      <c r="A29" s="112" t="s">
        <v>30</v>
      </c>
      <c r="B29" s="98" t="s">
        <v>172</v>
      </c>
      <c r="C29" s="98"/>
      <c r="D29" s="98" t="s">
        <v>159</v>
      </c>
      <c r="E29" s="98"/>
      <c r="F29" s="98"/>
      <c r="G29" s="106" t="s">
        <v>171</v>
      </c>
      <c r="H29" s="105"/>
      <c r="I29" s="105"/>
      <c r="J29" s="105"/>
      <c r="K29" s="104"/>
      <c r="L29" s="116" t="s">
        <v>157</v>
      </c>
      <c r="M29" s="115">
        <v>8.76</v>
      </c>
      <c r="N29" s="102" t="s">
        <v>15</v>
      </c>
      <c r="O29" s="98"/>
    </row>
    <row r="30" spans="1:15" ht="16" thickBot="1" x14ac:dyDescent="0.25">
      <c r="A30" s="112" t="s">
        <v>27</v>
      </c>
      <c r="B30" s="98" t="s">
        <v>170</v>
      </c>
      <c r="C30" s="98"/>
      <c r="D30" s="98" t="s">
        <v>159</v>
      </c>
      <c r="E30" s="98"/>
      <c r="F30" s="98"/>
      <c r="G30" s="106" t="s">
        <v>169</v>
      </c>
      <c r="H30" s="105"/>
      <c r="I30" s="105"/>
      <c r="J30" s="105"/>
      <c r="K30" s="104"/>
      <c r="L30" s="116" t="s">
        <v>157</v>
      </c>
      <c r="M30" s="115">
        <v>0.7</v>
      </c>
      <c r="N30" s="102" t="s">
        <v>15</v>
      </c>
      <c r="O30" s="98"/>
    </row>
    <row r="31" spans="1:15" ht="16" thickBot="1" x14ac:dyDescent="0.25">
      <c r="A31" s="112"/>
      <c r="B31" s="98"/>
      <c r="C31" s="98"/>
      <c r="D31" s="98"/>
      <c r="E31" s="98"/>
      <c r="F31" s="98"/>
      <c r="G31" s="113"/>
      <c r="H31" s="113"/>
      <c r="I31" s="113"/>
      <c r="J31" s="113"/>
      <c r="K31" s="113"/>
      <c r="L31" s="113"/>
      <c r="M31" s="113"/>
      <c r="N31" s="102"/>
      <c r="O31" s="98"/>
    </row>
    <row r="32" spans="1:15" ht="16" thickBot="1" x14ac:dyDescent="0.25">
      <c r="A32" s="112" t="s">
        <v>25</v>
      </c>
      <c r="B32" s="108" t="s">
        <v>168</v>
      </c>
      <c r="C32" s="108"/>
      <c r="D32" s="108"/>
      <c r="E32" s="108"/>
      <c r="F32" s="108"/>
      <c r="G32" s="98" t="s">
        <v>17</v>
      </c>
      <c r="H32" s="98"/>
      <c r="I32" s="15">
        <v>25.5</v>
      </c>
      <c r="J32" s="98" t="s">
        <v>15</v>
      </c>
      <c r="K32" s="111"/>
      <c r="L32" s="111" t="s">
        <v>16</v>
      </c>
      <c r="M32" s="15">
        <v>27.5</v>
      </c>
      <c r="N32" s="98" t="s">
        <v>15</v>
      </c>
      <c r="O32" s="98"/>
    </row>
    <row r="33" spans="1:15" ht="16" thickBot="1" x14ac:dyDescent="0.25">
      <c r="A33" s="112"/>
      <c r="B33" s="98" t="s">
        <v>167</v>
      </c>
      <c r="C33" s="98"/>
      <c r="D33" s="98"/>
      <c r="E33" s="98"/>
      <c r="F33" s="98"/>
      <c r="G33" s="118"/>
      <c r="H33" s="118"/>
      <c r="I33" s="117"/>
      <c r="J33" s="118"/>
      <c r="K33" s="118"/>
      <c r="L33" s="118"/>
      <c r="M33" s="117"/>
      <c r="N33" s="102"/>
      <c r="O33" s="98"/>
    </row>
    <row r="34" spans="1:15" ht="16" thickBot="1" x14ac:dyDescent="0.25">
      <c r="A34" s="112" t="s">
        <v>22</v>
      </c>
      <c r="B34" s="98" t="s">
        <v>166</v>
      </c>
      <c r="C34" s="98"/>
      <c r="D34" s="98" t="s">
        <v>159</v>
      </c>
      <c r="E34" s="98"/>
      <c r="F34" s="98"/>
      <c r="G34" s="106" t="s">
        <v>165</v>
      </c>
      <c r="H34" s="105"/>
      <c r="I34" s="105"/>
      <c r="J34" s="105"/>
      <c r="K34" s="104"/>
      <c r="L34" s="116" t="s">
        <v>157</v>
      </c>
      <c r="M34" s="115">
        <v>0.1</v>
      </c>
      <c r="N34" s="102" t="s">
        <v>15</v>
      </c>
      <c r="O34" s="98"/>
    </row>
    <row r="35" spans="1:15" ht="16" thickBot="1" x14ac:dyDescent="0.25">
      <c r="A35" s="112" t="s">
        <v>164</v>
      </c>
      <c r="B35" s="98" t="s">
        <v>163</v>
      </c>
      <c r="C35" s="98"/>
      <c r="D35" s="98" t="s">
        <v>159</v>
      </c>
      <c r="E35" s="98"/>
      <c r="F35" s="98"/>
      <c r="G35" s="106" t="s">
        <v>162</v>
      </c>
      <c r="H35" s="105"/>
      <c r="I35" s="105"/>
      <c r="J35" s="105"/>
      <c r="K35" s="104"/>
      <c r="L35" s="116" t="s">
        <v>157</v>
      </c>
      <c r="M35" s="115">
        <v>0.1</v>
      </c>
      <c r="N35" s="102" t="s">
        <v>15</v>
      </c>
      <c r="O35" s="98"/>
    </row>
    <row r="36" spans="1:15" ht="16" thickBot="1" x14ac:dyDescent="0.25">
      <c r="A36" s="112" t="s">
        <v>161</v>
      </c>
      <c r="B36" s="98" t="s">
        <v>160</v>
      </c>
      <c r="C36" s="98"/>
      <c r="D36" s="98" t="s">
        <v>159</v>
      </c>
      <c r="E36" s="98"/>
      <c r="F36" s="98"/>
      <c r="G36" s="106" t="s">
        <v>158</v>
      </c>
      <c r="H36" s="105"/>
      <c r="I36" s="105"/>
      <c r="J36" s="105"/>
      <c r="K36" s="104"/>
      <c r="L36" s="116" t="s">
        <v>157</v>
      </c>
      <c r="M36" s="115">
        <v>2.0299999999999998</v>
      </c>
      <c r="N36" s="102" t="s">
        <v>15</v>
      </c>
      <c r="O36" s="98"/>
    </row>
    <row r="37" spans="1:15" ht="16" thickBot="1" x14ac:dyDescent="0.25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4"/>
      <c r="N37" s="113"/>
      <c r="O37" s="113"/>
    </row>
    <row r="38" spans="1:15" ht="16" thickBot="1" x14ac:dyDescent="0.25">
      <c r="A38" s="112" t="s">
        <v>156</v>
      </c>
      <c r="B38" s="107" t="s">
        <v>155</v>
      </c>
      <c r="C38" s="98"/>
      <c r="D38" s="98"/>
      <c r="E38" s="98"/>
      <c r="F38" s="98"/>
      <c r="G38" s="98" t="s">
        <v>17</v>
      </c>
      <c r="H38" s="98"/>
      <c r="I38" s="15">
        <v>31</v>
      </c>
      <c r="J38" s="98" t="s">
        <v>15</v>
      </c>
      <c r="K38" s="111"/>
      <c r="L38" s="111" t="s">
        <v>16</v>
      </c>
      <c r="M38" s="15">
        <v>35</v>
      </c>
      <c r="N38" s="98" t="s">
        <v>15</v>
      </c>
      <c r="O38" s="98"/>
    </row>
    <row r="39" spans="1:15" ht="16" thickBot="1" x14ac:dyDescent="0.25">
      <c r="A39" s="98"/>
      <c r="B39" s="98"/>
      <c r="C39" s="98"/>
      <c r="D39" s="98"/>
      <c r="E39" s="98"/>
      <c r="F39" s="98"/>
      <c r="G39" s="98"/>
      <c r="H39" s="98"/>
      <c r="I39" s="110"/>
      <c r="J39" s="98"/>
      <c r="K39" s="98"/>
      <c r="L39" s="98"/>
      <c r="M39" s="98"/>
      <c r="N39" s="98"/>
      <c r="O39" s="98"/>
    </row>
    <row r="40" spans="1:15" ht="16" thickBot="1" x14ac:dyDescent="0.25">
      <c r="A40" s="98" t="s">
        <v>154</v>
      </c>
      <c r="B40" s="98" t="s">
        <v>34</v>
      </c>
      <c r="C40" s="98"/>
      <c r="D40" s="98"/>
      <c r="E40" s="98"/>
      <c r="F40" s="98"/>
      <c r="G40" s="106">
        <v>150</v>
      </c>
      <c r="H40" s="105"/>
      <c r="I40" s="105"/>
      <c r="J40" s="105"/>
      <c r="K40" s="105"/>
      <c r="L40" s="105"/>
      <c r="M40" s="104"/>
      <c r="N40" s="102" t="s">
        <v>28</v>
      </c>
      <c r="O40" s="98"/>
    </row>
    <row r="41" spans="1:15" ht="16" thickBot="1" x14ac:dyDescent="0.25">
      <c r="A41" s="98"/>
      <c r="B41" s="98"/>
      <c r="C41" s="98"/>
      <c r="D41" s="98"/>
      <c r="E41" s="98"/>
      <c r="F41" s="98"/>
      <c r="G41" s="102"/>
      <c r="H41" s="102"/>
      <c r="I41" s="102"/>
      <c r="J41" s="102"/>
      <c r="K41" s="102"/>
      <c r="L41" s="102"/>
      <c r="M41" s="102"/>
      <c r="N41" s="102"/>
      <c r="O41" s="98"/>
    </row>
    <row r="42" spans="1:15" ht="17" thickBot="1" x14ac:dyDescent="0.25">
      <c r="A42" s="98" t="s">
        <v>153</v>
      </c>
      <c r="B42" s="108" t="s">
        <v>152</v>
      </c>
      <c r="C42" s="108"/>
      <c r="D42" s="108"/>
      <c r="E42" s="108"/>
      <c r="F42" s="108"/>
      <c r="G42" s="108"/>
      <c r="H42" s="108"/>
      <c r="I42" s="108"/>
      <c r="J42" s="108"/>
      <c r="K42" s="109"/>
      <c r="L42" s="106">
        <v>200</v>
      </c>
      <c r="M42" s="104"/>
      <c r="N42" s="103" t="s">
        <v>150</v>
      </c>
      <c r="O42" s="98"/>
    </row>
    <row r="43" spans="1:15" ht="16" thickBot="1" x14ac:dyDescent="0.25">
      <c r="A43" s="98"/>
      <c r="B43" s="108" t="s">
        <v>151</v>
      </c>
      <c r="C43" s="108"/>
      <c r="D43" s="108"/>
      <c r="E43" s="108"/>
      <c r="F43" s="108"/>
      <c r="G43" s="108"/>
      <c r="H43" s="108"/>
      <c r="I43" s="108"/>
      <c r="J43" s="108"/>
      <c r="K43" s="108"/>
      <c r="L43" s="106">
        <v>160</v>
      </c>
      <c r="M43" s="104"/>
      <c r="N43" s="103" t="s">
        <v>150</v>
      </c>
      <c r="O43" s="98"/>
    </row>
    <row r="44" spans="1:15" ht="16" x14ac:dyDescent="0.2">
      <c r="A44" s="98"/>
      <c r="B44" s="108" t="s">
        <v>149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2"/>
      <c r="M44" s="102"/>
      <c r="N44" s="102"/>
      <c r="O44" s="98"/>
    </row>
    <row r="45" spans="1:15" ht="16" thickBot="1" x14ac:dyDescent="0.25">
      <c r="A45" s="98" t="s">
        <v>148</v>
      </c>
      <c r="B45" s="98" t="s">
        <v>147</v>
      </c>
      <c r="C45" s="98"/>
      <c r="D45" s="98"/>
      <c r="E45" s="98"/>
      <c r="F45" s="98"/>
      <c r="G45" s="102"/>
      <c r="H45" s="102"/>
      <c r="I45" s="102"/>
      <c r="J45" s="102"/>
      <c r="K45" s="102"/>
      <c r="L45" s="102"/>
      <c r="M45" s="102"/>
      <c r="N45" s="102"/>
      <c r="O45" s="98"/>
    </row>
    <row r="46" spans="1:15" ht="16" thickBot="1" x14ac:dyDescent="0.25">
      <c r="A46" s="98"/>
      <c r="B46" s="98"/>
      <c r="C46" s="107" t="s">
        <v>146</v>
      </c>
      <c r="D46" s="98"/>
      <c r="E46" s="98"/>
      <c r="F46" s="98"/>
      <c r="G46" s="106">
        <v>10</v>
      </c>
      <c r="H46" s="105"/>
      <c r="I46" s="105"/>
      <c r="J46" s="105"/>
      <c r="K46" s="105"/>
      <c r="L46" s="104"/>
      <c r="M46" s="98" t="s">
        <v>144</v>
      </c>
      <c r="N46" s="98"/>
      <c r="O46" s="98"/>
    </row>
    <row r="47" spans="1:15" ht="16" thickBot="1" x14ac:dyDescent="0.25">
      <c r="A47" s="98"/>
      <c r="B47" s="98"/>
      <c r="C47" s="107" t="s">
        <v>145</v>
      </c>
      <c r="D47" s="98"/>
      <c r="E47" s="98"/>
      <c r="F47" s="98"/>
      <c r="G47" s="106">
        <v>10</v>
      </c>
      <c r="H47" s="105"/>
      <c r="I47" s="105"/>
      <c r="J47" s="105"/>
      <c r="K47" s="105"/>
      <c r="L47" s="104"/>
      <c r="M47" s="98" t="s">
        <v>144</v>
      </c>
      <c r="N47" s="102"/>
      <c r="O47" s="98"/>
    </row>
    <row r="48" spans="1:15" ht="16" thickBot="1" x14ac:dyDescent="0.25">
      <c r="A48" s="98" t="s">
        <v>143</v>
      </c>
      <c r="B48" s="98" t="s">
        <v>142</v>
      </c>
      <c r="C48" s="98"/>
      <c r="D48" s="98"/>
      <c r="E48" s="98"/>
      <c r="F48" s="98"/>
      <c r="G48" s="106">
        <v>0.52400000000000002</v>
      </c>
      <c r="H48" s="105"/>
      <c r="I48" s="105"/>
      <c r="J48" s="105"/>
      <c r="K48" s="105"/>
      <c r="L48" s="104"/>
      <c r="M48" s="98" t="s">
        <v>141</v>
      </c>
      <c r="N48" s="102"/>
      <c r="O48" s="98"/>
    </row>
    <row r="49" spans="1:15" ht="16" thickBot="1" x14ac:dyDescent="0.25">
      <c r="A49" s="98" t="s">
        <v>140</v>
      </c>
      <c r="B49" s="98" t="s">
        <v>139</v>
      </c>
      <c r="C49" s="98"/>
      <c r="D49" s="98"/>
      <c r="E49" s="98"/>
      <c r="F49" s="98"/>
      <c r="G49" s="106">
        <v>500</v>
      </c>
      <c r="H49" s="105"/>
      <c r="I49" s="105"/>
      <c r="J49" s="105"/>
      <c r="K49" s="105"/>
      <c r="L49" s="104"/>
      <c r="M49" s="103" t="s">
        <v>138</v>
      </c>
      <c r="N49" s="102"/>
      <c r="O49" s="98"/>
    </row>
    <row r="50" spans="1:15" x14ac:dyDescent="0.2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98"/>
    </row>
    <row r="51" spans="1:15" x14ac:dyDescent="0.2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</row>
    <row r="52" spans="1:15" x14ac:dyDescent="0.2">
      <c r="A52" s="100" t="s">
        <v>82</v>
      </c>
      <c r="B52" s="100"/>
      <c r="C52" s="99" t="s">
        <v>137</v>
      </c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8"/>
    </row>
    <row r="53" spans="1:15" x14ac:dyDescent="0.2">
      <c r="A53" s="100" t="s">
        <v>79</v>
      </c>
      <c r="B53" s="100"/>
      <c r="C53" s="99" t="s">
        <v>136</v>
      </c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8"/>
    </row>
    <row r="54" spans="1: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</sheetData>
  <mergeCells count="37">
    <mergeCell ref="B44:K44"/>
    <mergeCell ref="G46:L46"/>
    <mergeCell ref="G47:L47"/>
    <mergeCell ref="G48:L48"/>
    <mergeCell ref="G49:L49"/>
    <mergeCell ref="A52:B52"/>
    <mergeCell ref="C52:N52"/>
    <mergeCell ref="B32:F32"/>
    <mergeCell ref="G34:K34"/>
    <mergeCell ref="G35:K35"/>
    <mergeCell ref="G36:K36"/>
    <mergeCell ref="A53:B53"/>
    <mergeCell ref="C53:N53"/>
    <mergeCell ref="B42:K42"/>
    <mergeCell ref="L42:M42"/>
    <mergeCell ref="B43:K43"/>
    <mergeCell ref="L43:M43"/>
    <mergeCell ref="G16:M16"/>
    <mergeCell ref="G18:N18"/>
    <mergeCell ref="G40:M40"/>
    <mergeCell ref="G21:L21"/>
    <mergeCell ref="G22:L22"/>
    <mergeCell ref="G23:L23"/>
    <mergeCell ref="G24:L24"/>
    <mergeCell ref="G28:K28"/>
    <mergeCell ref="G29:K29"/>
    <mergeCell ref="G30:K30"/>
    <mergeCell ref="G20:L20"/>
    <mergeCell ref="A1:N1"/>
    <mergeCell ref="M2:N2"/>
    <mergeCell ref="M3:N3"/>
    <mergeCell ref="K6:N6"/>
    <mergeCell ref="C7:D7"/>
    <mergeCell ref="J7:N7"/>
    <mergeCell ref="G11:M11"/>
    <mergeCell ref="G12:M12"/>
    <mergeCell ref="G14:M14"/>
  </mergeCells>
  <conditionalFormatting sqref="A1 O1:O3 A2:M3 A4:O24 A25:F25 M25:O25 A27:F27 M27:O27 A28:O30 N31:O31 A31:F33 N33:O33 A34:O36 A38:O51 A52:A53 A54:O54 A55:A56 C55:O56">
    <cfRule type="expression" dxfId="50" priority="6">
      <formula>CELL("protect", INDIRECT(ADDRESS(ROW(), COLUMN())))=0</formula>
    </cfRule>
  </conditionalFormatting>
  <conditionalFormatting sqref="A26:B26">
    <cfRule type="expression" dxfId="49" priority="2">
      <formula>CELL("protect", INDIRECT(ADDRESS(ROW(), COLUMN())))=0</formula>
    </cfRule>
  </conditionalFormatting>
  <conditionalFormatting sqref="C52:O53">
    <cfRule type="expression" dxfId="48" priority="3">
      <formula>CELL("protect", INDIRECT(ADDRESS(ROW(), COLUMN())))=0</formula>
    </cfRule>
  </conditionalFormatting>
  <conditionalFormatting sqref="G18">
    <cfRule type="expression" dxfId="47" priority="5">
      <formula>CELL("protect", INDIRECT(ADDRESS(ROW(), COLUMN())))=0</formula>
    </cfRule>
  </conditionalFormatting>
  <conditionalFormatting sqref="G26:O26">
    <cfRule type="expression" dxfId="46" priority="1">
      <formula>CELL("protect", INDIRECT(ADDRESS(ROW(), COLUMN())))=0</formula>
    </cfRule>
  </conditionalFormatting>
  <conditionalFormatting sqref="G32:O32">
    <cfRule type="expression" dxfId="45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117A2BB5-5397-8E4C-8C7A-C420F17D3AF5}">
      <formula1>$B$63:$B$66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EC69-1137-334A-A164-6B22C09455FD}">
  <dimension ref="A1:AC59"/>
  <sheetViews>
    <sheetView view="pageBreakPreview" zoomScale="150" zoomScaleNormal="100" zoomScaleSheetLayoutView="100" workbookViewId="0">
      <selection activeCell="P17" sqref="P17"/>
    </sheetView>
  </sheetViews>
  <sheetFormatPr baseColWidth="10" defaultColWidth="12.6640625" defaultRowHeight="14" x14ac:dyDescent="0.25"/>
  <cols>
    <col min="1" max="1" width="3.5" style="37" customWidth="1"/>
    <col min="2" max="2" width="6" style="37" customWidth="1"/>
    <col min="3" max="3" width="17.5" style="37" customWidth="1"/>
    <col min="4" max="4" width="12.6640625" style="37"/>
    <col min="5" max="5" width="19.5" style="37" customWidth="1"/>
    <col min="6" max="6" width="4.33203125" style="37" customWidth="1"/>
    <col min="7" max="7" width="4.1640625" style="37" customWidth="1"/>
    <col min="8" max="8" width="1.6640625" style="37" customWidth="1"/>
    <col min="9" max="9" width="11.5" style="37" customWidth="1"/>
    <col min="10" max="10" width="4.1640625" style="37" customWidth="1"/>
    <col min="11" max="11" width="11" style="37" customWidth="1"/>
    <col min="12" max="12" width="2.6640625" style="37" customWidth="1"/>
    <col min="13" max="13" width="3.5" style="37" customWidth="1"/>
    <col min="14" max="14" width="15.1640625" style="37" customWidth="1"/>
    <col min="15" max="15" width="6" style="37" customWidth="1"/>
    <col min="16" max="16" width="12.6640625" style="37"/>
    <col min="17" max="17" width="20.1640625" style="37" hidden="1" customWidth="1"/>
    <col min="18" max="18" width="15.1640625" style="37" hidden="1" customWidth="1"/>
    <col min="19" max="21" width="13.6640625" style="37" hidden="1" customWidth="1"/>
    <col min="22" max="22" width="0" style="37" hidden="1" customWidth="1"/>
    <col min="23" max="23" width="34.1640625" style="37" hidden="1" customWidth="1"/>
    <col min="24" max="24" width="19.5" style="37" hidden="1" customWidth="1"/>
    <col min="25" max="25" width="15.33203125" style="37" hidden="1" customWidth="1"/>
    <col min="26" max="26" width="20.1640625" style="37" hidden="1" customWidth="1"/>
    <col min="27" max="16384" width="12.6640625" style="37"/>
  </cols>
  <sheetData>
    <row r="1" spans="1:24" ht="14.5" customHeight="1" x14ac:dyDescent="0.25">
      <c r="A1" s="96" t="s">
        <v>135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39"/>
      <c r="Q1" s="39"/>
      <c r="R1" s="39"/>
      <c r="S1" s="39"/>
      <c r="T1" s="39"/>
      <c r="U1" s="39"/>
      <c r="V1" s="39"/>
      <c r="W1" s="39"/>
      <c r="X1" s="39"/>
    </row>
    <row r="2" spans="1:24" ht="14.5" customHeigh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4" t="s">
        <v>134</v>
      </c>
      <c r="O2" s="94"/>
      <c r="P2" s="39"/>
      <c r="Q2" s="39"/>
      <c r="R2" s="39"/>
      <c r="S2" s="39"/>
      <c r="T2" s="39"/>
      <c r="U2" s="39"/>
      <c r="V2" s="39"/>
      <c r="W2" s="39"/>
      <c r="X2" s="39"/>
    </row>
    <row r="3" spans="1:24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94" t="s">
        <v>133</v>
      </c>
      <c r="O3" s="94"/>
      <c r="P3" s="39"/>
      <c r="Q3" s="39"/>
      <c r="R3" s="39"/>
      <c r="S3" s="39"/>
      <c r="T3" s="50"/>
      <c r="U3" s="50" t="s">
        <v>132</v>
      </c>
      <c r="V3" s="50"/>
      <c r="W3" s="50"/>
      <c r="X3" s="50"/>
    </row>
    <row r="4" spans="1:24" ht="15" customHeight="1" thickBot="1" x14ac:dyDescent="0.3">
      <c r="A4" s="89" t="s">
        <v>61</v>
      </c>
      <c r="B4" s="39"/>
      <c r="C4" s="39"/>
      <c r="D4" s="39"/>
      <c r="E4" s="39"/>
      <c r="F4" s="89"/>
      <c r="G4" s="89"/>
      <c r="H4" s="39"/>
      <c r="I4" s="39"/>
      <c r="J4" s="39"/>
      <c r="K4" s="39"/>
      <c r="L4" s="39"/>
      <c r="M4" s="39"/>
      <c r="N4" s="39"/>
      <c r="O4" s="39"/>
      <c r="P4" s="39"/>
      <c r="Q4" s="72" t="s">
        <v>131</v>
      </c>
      <c r="R4" s="39"/>
      <c r="S4" s="39"/>
      <c r="T4" s="50">
        <v>1</v>
      </c>
      <c r="U4" s="50" t="s">
        <v>130</v>
      </c>
      <c r="V4" s="50"/>
      <c r="W4" s="50"/>
      <c r="X4" s="50"/>
    </row>
    <row r="5" spans="1:24" ht="15" customHeight="1" thickBot="1" x14ac:dyDescent="0.3">
      <c r="A5" s="89" t="s">
        <v>60</v>
      </c>
      <c r="B5" s="39"/>
      <c r="C5" s="39"/>
      <c r="D5" s="39"/>
      <c r="E5" s="93" t="s">
        <v>129</v>
      </c>
      <c r="F5" s="89"/>
      <c r="G5" s="89" t="s">
        <v>58</v>
      </c>
      <c r="H5" s="39"/>
      <c r="I5" s="39"/>
      <c r="J5" s="39"/>
      <c r="K5" s="92" t="s">
        <v>57</v>
      </c>
      <c r="L5" s="91"/>
      <c r="M5" s="91"/>
      <c r="N5" s="91"/>
      <c r="O5" s="90"/>
      <c r="P5" s="39"/>
      <c r="Q5" s="72" t="s">
        <v>128</v>
      </c>
      <c r="R5" s="39"/>
      <c r="S5" s="39"/>
      <c r="T5" s="50"/>
      <c r="U5" s="50">
        <v>1.1000000000000001</v>
      </c>
      <c r="V5" s="50" t="s">
        <v>127</v>
      </c>
      <c r="W5" s="50" t="s">
        <v>123</v>
      </c>
      <c r="X5" s="50"/>
    </row>
    <row r="6" spans="1:24" ht="15" customHeight="1" thickBot="1" x14ac:dyDescent="0.3">
      <c r="A6" s="89" t="s">
        <v>56</v>
      </c>
      <c r="B6" s="39"/>
      <c r="C6" s="22" t="s">
        <v>55</v>
      </c>
      <c r="D6" s="20"/>
      <c r="E6" s="39"/>
      <c r="F6" s="89"/>
      <c r="G6" s="89" t="s">
        <v>54</v>
      </c>
      <c r="H6" s="39"/>
      <c r="I6" s="39"/>
      <c r="J6" s="88" t="s">
        <v>126</v>
      </c>
      <c r="K6" s="87"/>
      <c r="L6" s="87"/>
      <c r="M6" s="87"/>
      <c r="N6" s="87"/>
      <c r="O6" s="86"/>
      <c r="P6" s="39"/>
      <c r="Q6" s="39"/>
      <c r="R6" s="39"/>
      <c r="S6" s="39"/>
      <c r="T6" s="50"/>
      <c r="U6" s="50"/>
      <c r="V6" s="50"/>
      <c r="W6" s="50" t="s">
        <v>122</v>
      </c>
      <c r="X6" s="50"/>
    </row>
    <row r="7" spans="1:24" ht="14.5" customHeight="1" x14ac:dyDescent="0.25">
      <c r="A7" s="39"/>
      <c r="B7" s="39"/>
      <c r="C7" s="39"/>
      <c r="D7" s="39"/>
      <c r="E7" s="39"/>
      <c r="F7" s="8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0"/>
      <c r="U7" s="50">
        <v>1.2</v>
      </c>
      <c r="V7" s="50" t="s">
        <v>125</v>
      </c>
      <c r="W7" s="50"/>
      <c r="X7" s="50"/>
    </row>
    <row r="8" spans="1:24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50"/>
      <c r="U8" s="50"/>
      <c r="V8" s="50"/>
      <c r="W8" s="50" t="s">
        <v>124</v>
      </c>
      <c r="X8" s="50" t="s">
        <v>123</v>
      </c>
    </row>
    <row r="9" spans="1:24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50"/>
      <c r="U9" s="50"/>
      <c r="V9" s="50"/>
      <c r="W9" s="50"/>
      <c r="X9" s="50" t="s">
        <v>122</v>
      </c>
    </row>
    <row r="10" spans="1:24" ht="15" thickBot="1" x14ac:dyDescent="0.3">
      <c r="A10" s="39" t="s">
        <v>52</v>
      </c>
      <c r="B10" s="39" t="s">
        <v>51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50"/>
      <c r="U10" s="50"/>
      <c r="V10" s="50"/>
      <c r="W10" s="50" t="s">
        <v>121</v>
      </c>
      <c r="X10" s="50" t="s">
        <v>120</v>
      </c>
    </row>
    <row r="11" spans="1:24" ht="15" customHeight="1" thickBot="1" x14ac:dyDescent="0.3">
      <c r="A11" s="39"/>
      <c r="B11" s="58"/>
      <c r="C11" s="58" t="s">
        <v>49</v>
      </c>
      <c r="D11" s="39"/>
      <c r="E11" s="39"/>
      <c r="F11" s="39"/>
      <c r="G11" s="88" t="s">
        <v>119</v>
      </c>
      <c r="H11" s="87"/>
      <c r="I11" s="87"/>
      <c r="J11" s="87"/>
      <c r="K11" s="87"/>
      <c r="L11" s="87"/>
      <c r="M11" s="87"/>
      <c r="N11" s="87"/>
      <c r="O11" s="86"/>
      <c r="P11" s="39"/>
      <c r="Q11" s="39"/>
      <c r="R11" s="39"/>
      <c r="S11" s="39"/>
      <c r="T11" s="50"/>
      <c r="U11" s="50"/>
      <c r="V11" s="50"/>
      <c r="W11" s="50"/>
      <c r="X11" s="50"/>
    </row>
    <row r="12" spans="1:24" ht="15" thickBot="1" x14ac:dyDescent="0.3">
      <c r="A12" s="39"/>
      <c r="B12" s="58"/>
      <c r="C12" s="58" t="s">
        <v>47</v>
      </c>
      <c r="D12" s="39"/>
      <c r="E12" s="39"/>
      <c r="F12" s="39"/>
      <c r="G12" s="88" t="s">
        <v>118</v>
      </c>
      <c r="H12" s="87"/>
      <c r="I12" s="87"/>
      <c r="J12" s="87"/>
      <c r="K12" s="87"/>
      <c r="L12" s="87"/>
      <c r="M12" s="87"/>
      <c r="N12" s="87"/>
      <c r="O12" s="86"/>
      <c r="P12" s="39"/>
      <c r="Q12" s="39"/>
      <c r="R12" s="39"/>
      <c r="S12" s="39"/>
      <c r="T12" s="50">
        <v>2</v>
      </c>
      <c r="U12" s="50" t="s">
        <v>117</v>
      </c>
      <c r="V12" s="50"/>
      <c r="W12" s="50"/>
      <c r="X12" s="50"/>
    </row>
    <row r="13" spans="1:24" ht="15" thickBot="1" x14ac:dyDescent="0.3">
      <c r="A13" s="39"/>
      <c r="B13" s="5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72" t="s">
        <v>116</v>
      </c>
      <c r="R13" s="39"/>
      <c r="S13" s="39"/>
      <c r="T13" s="50"/>
      <c r="U13" s="50">
        <v>2.1</v>
      </c>
      <c r="V13" s="50" t="s">
        <v>115</v>
      </c>
      <c r="W13" s="50"/>
      <c r="X13" s="50"/>
    </row>
    <row r="14" spans="1:24" ht="16" thickBot="1" x14ac:dyDescent="0.3">
      <c r="A14" s="39" t="s">
        <v>45</v>
      </c>
      <c r="B14" s="44" t="s">
        <v>114</v>
      </c>
      <c r="C14" s="44"/>
      <c r="D14" s="44"/>
      <c r="E14" s="39"/>
      <c r="F14" s="39"/>
      <c r="G14" s="88" t="s">
        <v>113</v>
      </c>
      <c r="H14" s="87"/>
      <c r="I14" s="87"/>
      <c r="J14" s="87"/>
      <c r="K14" s="87"/>
      <c r="L14" s="87"/>
      <c r="M14" s="87"/>
      <c r="N14" s="87"/>
      <c r="O14" s="86"/>
      <c r="P14" s="39"/>
      <c r="Q14" s="72" t="s">
        <v>112</v>
      </c>
      <c r="R14" s="39"/>
      <c r="S14" s="39"/>
      <c r="T14" s="50"/>
      <c r="U14" s="50"/>
      <c r="V14" s="50"/>
      <c r="W14" s="50" t="s">
        <v>111</v>
      </c>
      <c r="X14" s="50" t="e">
        <f>VLOOKUP(#REF!,$V$27:$Z$27,4,FALSE)</f>
        <v>#REF!</v>
      </c>
    </row>
    <row r="15" spans="1:24" ht="16" thickBot="1" x14ac:dyDescent="0.3">
      <c r="A15" s="44" t="s">
        <v>42</v>
      </c>
      <c r="B15" s="44" t="s">
        <v>110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39"/>
      <c r="Q15" s="72" t="s">
        <v>109</v>
      </c>
      <c r="R15" s="39"/>
      <c r="S15" s="39"/>
      <c r="T15" s="39"/>
      <c r="U15" s="39"/>
      <c r="V15" s="39"/>
      <c r="W15" s="39"/>
      <c r="X15" s="39"/>
    </row>
    <row r="16" spans="1:24" ht="15" thickBot="1" x14ac:dyDescent="0.3">
      <c r="A16" s="44"/>
      <c r="B16" s="84" t="s">
        <v>108</v>
      </c>
      <c r="C16" s="39"/>
      <c r="D16" s="44"/>
      <c r="E16" s="44"/>
      <c r="F16" s="44"/>
      <c r="G16" s="83" t="s">
        <v>17</v>
      </c>
      <c r="H16" s="44"/>
      <c r="I16" s="85">
        <v>30</v>
      </c>
      <c r="J16" s="44" t="s">
        <v>107</v>
      </c>
      <c r="K16" s="44"/>
      <c r="L16" s="66" t="s">
        <v>16</v>
      </c>
      <c r="M16" s="66"/>
      <c r="N16" s="85">
        <v>35</v>
      </c>
      <c r="O16" s="44" t="s">
        <v>107</v>
      </c>
      <c r="P16" s="39"/>
      <c r="Q16" s="72" t="s">
        <v>106</v>
      </c>
      <c r="R16" s="39"/>
      <c r="S16" s="39"/>
      <c r="T16" s="39"/>
      <c r="U16" s="39"/>
      <c r="V16" s="39"/>
      <c r="W16" s="39"/>
      <c r="X16" s="39"/>
    </row>
    <row r="17" spans="1:29" ht="9" customHeight="1" thickBot="1" x14ac:dyDescent="0.3">
      <c r="A17" s="44"/>
      <c r="B17" s="44"/>
      <c r="C17" s="84"/>
      <c r="D17" s="44"/>
      <c r="E17" s="44"/>
      <c r="F17" s="44"/>
      <c r="G17" s="83"/>
      <c r="H17" s="44"/>
      <c r="I17" s="82"/>
      <c r="J17" s="44"/>
      <c r="K17" s="44"/>
      <c r="L17" s="66"/>
      <c r="M17" s="66"/>
      <c r="N17" s="82"/>
      <c r="O17" s="44"/>
      <c r="P17" s="39"/>
      <c r="Q17" s="72"/>
      <c r="R17" s="39"/>
      <c r="S17" s="39"/>
      <c r="T17" s="39"/>
      <c r="U17" s="39"/>
      <c r="V17" s="39"/>
      <c r="W17" s="39"/>
      <c r="X17" s="39"/>
      <c r="Y17" s="39"/>
      <c r="Z17" s="39"/>
    </row>
    <row r="18" spans="1:29" ht="15" customHeight="1" thickBot="1" x14ac:dyDescent="0.3">
      <c r="A18" s="44" t="s">
        <v>40</v>
      </c>
      <c r="B18" s="39" t="s">
        <v>41</v>
      </c>
      <c r="C18" s="39"/>
      <c r="D18" s="39"/>
      <c r="E18" s="39"/>
      <c r="F18" s="81"/>
      <c r="G18" s="80" t="s">
        <v>71</v>
      </c>
      <c r="H18" s="79"/>
      <c r="I18" s="79"/>
      <c r="J18" s="79"/>
      <c r="K18" s="79"/>
      <c r="L18" s="79"/>
      <c r="M18" s="79"/>
      <c r="N18" s="78"/>
      <c r="O18" s="38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9" ht="15" customHeight="1" thickBot="1" x14ac:dyDescent="0.3">
      <c r="A19" s="39"/>
      <c r="B19" s="39"/>
      <c r="C19" s="39"/>
      <c r="D19" s="39"/>
      <c r="E19" s="39"/>
      <c r="F19" s="39"/>
      <c r="G19" s="39" t="s">
        <v>105</v>
      </c>
      <c r="H19" s="38"/>
      <c r="I19" s="77"/>
      <c r="J19" s="77"/>
      <c r="K19" s="77"/>
      <c r="L19" s="77"/>
      <c r="M19" s="77"/>
      <c r="N19" s="77"/>
      <c r="O19" s="77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9" ht="54.5" customHeight="1" thickBot="1" x14ac:dyDescent="0.3">
      <c r="A20" s="39"/>
      <c r="B20" s="39"/>
      <c r="C20" s="39"/>
      <c r="D20" s="39"/>
      <c r="E20" s="39"/>
      <c r="F20" s="39"/>
      <c r="G20" s="53"/>
      <c r="H20" s="52"/>
      <c r="I20" s="52"/>
      <c r="J20" s="52"/>
      <c r="K20" s="52"/>
      <c r="L20" s="52"/>
      <c r="M20" s="52"/>
      <c r="N20" s="52"/>
      <c r="O20" s="51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9" ht="15" thickBo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C21" s="76"/>
    </row>
    <row r="22" spans="1:29" ht="14.5" customHeight="1" thickBot="1" x14ac:dyDescent="0.3">
      <c r="A22" s="39" t="s">
        <v>37</v>
      </c>
      <c r="B22" s="44" t="s">
        <v>104</v>
      </c>
      <c r="C22" s="44"/>
      <c r="D22" s="44"/>
      <c r="E22" s="44"/>
      <c r="F22" s="44"/>
      <c r="G22" s="70"/>
      <c r="H22" s="75"/>
      <c r="I22" s="74" t="s">
        <v>68</v>
      </c>
      <c r="J22" s="73"/>
      <c r="K22" s="73"/>
      <c r="L22" s="73"/>
      <c r="M22" s="73"/>
      <c r="N22" s="73"/>
      <c r="O22" s="44"/>
      <c r="P22" s="39"/>
      <c r="Q22" s="72" t="s">
        <v>103</v>
      </c>
      <c r="R22" s="39"/>
      <c r="S22" s="39"/>
      <c r="T22" s="39"/>
      <c r="U22" s="39"/>
      <c r="V22" s="39"/>
      <c r="W22" s="39"/>
      <c r="X22" s="39"/>
      <c r="Y22" s="39"/>
      <c r="Z22" s="39"/>
    </row>
    <row r="23" spans="1:29" ht="15" customHeight="1" thickBot="1" x14ac:dyDescent="0.3">
      <c r="A23" s="44"/>
      <c r="B23" s="66"/>
      <c r="C23" s="45"/>
      <c r="D23" s="45"/>
      <c r="E23" s="45"/>
      <c r="F23" s="45"/>
      <c r="G23" s="44"/>
      <c r="H23" s="66"/>
      <c r="I23" s="66" t="s">
        <v>102</v>
      </c>
      <c r="J23" s="57"/>
      <c r="K23" s="56"/>
      <c r="L23" s="56"/>
      <c r="M23" s="56"/>
      <c r="N23" s="56"/>
      <c r="O23" s="55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9" ht="14.5" customHeight="1" thickBot="1" x14ac:dyDescent="0.3">
      <c r="A24" s="44"/>
      <c r="B24" s="44"/>
      <c r="C24" s="45"/>
      <c r="D24" s="45"/>
      <c r="E24" s="45"/>
      <c r="F24" s="71"/>
      <c r="G24" s="70" t="s">
        <v>0</v>
      </c>
      <c r="H24" s="69"/>
      <c r="I24" s="68" t="s">
        <v>67</v>
      </c>
      <c r="J24" s="40"/>
      <c r="K24" s="40"/>
      <c r="L24" s="40"/>
      <c r="M24" s="40"/>
      <c r="N24" s="40"/>
      <c r="O24" s="44"/>
      <c r="P24" s="39"/>
      <c r="Q24" s="39"/>
      <c r="R24" s="39"/>
      <c r="S24" s="39"/>
      <c r="T24" s="39"/>
      <c r="U24" s="50"/>
      <c r="V24" s="50"/>
      <c r="W24" s="50"/>
      <c r="X24" s="50"/>
      <c r="Y24" s="50"/>
      <c r="Z24" s="50"/>
    </row>
    <row r="25" spans="1:29" ht="15" thickBot="1" x14ac:dyDescent="0.3">
      <c r="A25" s="44"/>
      <c r="B25" s="44"/>
      <c r="C25" s="45"/>
      <c r="D25" s="45"/>
      <c r="E25" s="45"/>
      <c r="F25" s="45"/>
      <c r="G25" s="44"/>
      <c r="H25" s="44"/>
      <c r="I25" s="66" t="s">
        <v>102</v>
      </c>
      <c r="J25" s="57" t="s">
        <v>101</v>
      </c>
      <c r="K25" s="56"/>
      <c r="L25" s="56"/>
      <c r="M25" s="56"/>
      <c r="N25" s="56"/>
      <c r="O25" s="55"/>
      <c r="P25" s="39"/>
      <c r="Q25" s="39"/>
      <c r="R25" s="39"/>
      <c r="S25" s="39"/>
      <c r="T25" s="39"/>
      <c r="U25" s="50"/>
      <c r="V25" s="67" t="s">
        <v>100</v>
      </c>
      <c r="W25" s="67"/>
      <c r="X25" s="67"/>
      <c r="Y25" s="67"/>
      <c r="Z25" s="50"/>
    </row>
    <row r="26" spans="1:29" ht="39.75" customHeight="1" thickBot="1" x14ac:dyDescent="0.3">
      <c r="A26" s="44"/>
      <c r="B26" s="44"/>
      <c r="C26" s="45"/>
      <c r="D26" s="45"/>
      <c r="E26" s="45"/>
      <c r="F26" s="45"/>
      <c r="G26" s="44"/>
      <c r="H26" s="44"/>
      <c r="I26" s="66" t="s">
        <v>99</v>
      </c>
      <c r="J26" s="65" t="s">
        <v>98</v>
      </c>
      <c r="K26" s="64"/>
      <c r="L26" s="64"/>
      <c r="M26" s="64"/>
      <c r="N26" s="64"/>
      <c r="O26" s="63"/>
      <c r="P26" s="39"/>
      <c r="Q26" s="39"/>
      <c r="R26" s="39"/>
      <c r="S26" s="39"/>
      <c r="T26" s="39"/>
      <c r="U26" s="50"/>
      <c r="V26" s="50" t="s">
        <v>97</v>
      </c>
      <c r="W26" s="50" t="s">
        <v>96</v>
      </c>
      <c r="X26" s="50" t="s">
        <v>95</v>
      </c>
      <c r="Y26" s="39" t="s">
        <v>94</v>
      </c>
      <c r="Z26" s="39" t="s">
        <v>93</v>
      </c>
    </row>
    <row r="27" spans="1:29" ht="32.5" customHeight="1" thickBot="1" x14ac:dyDescent="0.3">
      <c r="A27" s="62" t="s">
        <v>35</v>
      </c>
      <c r="B27" s="61" t="s">
        <v>92</v>
      </c>
      <c r="C27" s="60"/>
      <c r="D27" s="60"/>
      <c r="E27" s="60"/>
      <c r="F27" s="39"/>
      <c r="G27" s="59"/>
      <c r="H27" s="59"/>
      <c r="I27" s="59"/>
      <c r="J27" s="39"/>
      <c r="K27" s="39"/>
      <c r="L27" s="39"/>
      <c r="M27" s="39"/>
      <c r="N27" s="39"/>
      <c r="O27" s="39"/>
      <c r="P27" s="39"/>
      <c r="Q27" s="50"/>
      <c r="R27" s="50"/>
      <c r="S27" s="50"/>
      <c r="T27" s="50"/>
      <c r="U27" s="50"/>
      <c r="V27" s="50">
        <v>230</v>
      </c>
      <c r="W27" s="50">
        <v>170</v>
      </c>
      <c r="X27" s="50"/>
      <c r="Y27" s="39" t="e">
        <f>0.16*$W27*$W27/#REF!*#REF!</f>
        <v>#REF!</v>
      </c>
      <c r="Z27" s="39" t="e">
        <f>0.17*$W27*$W27/#REF!*#REF!</f>
        <v>#REF!</v>
      </c>
    </row>
    <row r="28" spans="1:29" ht="15" thickBot="1" x14ac:dyDescent="0.3">
      <c r="A28" s="39"/>
      <c r="B28" s="58" t="s">
        <v>91</v>
      </c>
      <c r="C28" s="39"/>
      <c r="D28" s="39"/>
      <c r="E28" s="39"/>
      <c r="F28" s="39"/>
      <c r="G28" s="57">
        <v>36</v>
      </c>
      <c r="H28" s="56"/>
      <c r="I28" s="55"/>
      <c r="J28" s="39" t="s">
        <v>15</v>
      </c>
      <c r="K28" s="39"/>
      <c r="L28" s="39"/>
      <c r="M28" s="39"/>
      <c r="N28" s="39"/>
      <c r="O28" s="39"/>
      <c r="P28" s="39"/>
      <c r="Q28" s="50">
        <v>0.16</v>
      </c>
      <c r="R28" s="50">
        <v>0.17</v>
      </c>
      <c r="S28" s="50" t="e">
        <f>IF(#REF!="FLAT",Q28,IF(#REF!="TREFOIL",R28,"-"))</f>
        <v>#REF!</v>
      </c>
      <c r="T28" s="50"/>
      <c r="U28" s="50"/>
      <c r="V28" s="50"/>
      <c r="W28" s="50" t="s">
        <v>90</v>
      </c>
      <c r="X28" s="50"/>
      <c r="Y28" s="50"/>
      <c r="Z28" s="50"/>
    </row>
    <row r="29" spans="1:29" ht="15" thickBot="1" x14ac:dyDescent="0.3">
      <c r="A29" s="39"/>
      <c r="B29" s="58" t="s">
        <v>89</v>
      </c>
      <c r="C29" s="39"/>
      <c r="D29" s="39"/>
      <c r="E29" s="39"/>
      <c r="F29" s="39"/>
      <c r="G29" s="57">
        <v>108</v>
      </c>
      <c r="H29" s="56"/>
      <c r="I29" s="55"/>
      <c r="J29" s="39" t="s">
        <v>88</v>
      </c>
      <c r="K29" s="39"/>
      <c r="L29" s="39"/>
      <c r="M29" s="39"/>
      <c r="N29" s="39"/>
      <c r="O29" s="39"/>
      <c r="P29" s="39"/>
      <c r="Q29" s="50" t="s">
        <v>87</v>
      </c>
      <c r="R29" s="50"/>
      <c r="S29" s="50"/>
      <c r="T29" s="50"/>
      <c r="U29" s="50"/>
      <c r="V29" s="50"/>
      <c r="W29" s="50" t="e">
        <f>$S$28*((VLOOKUP(#REF!,$V$27:$W$27,2,FALSE)^2)/#REF!)*G30</f>
        <v>#REF!</v>
      </c>
      <c r="X29" s="50"/>
      <c r="Y29" s="50"/>
      <c r="Z29" s="50"/>
    </row>
    <row r="30" spans="1:29" ht="15" thickBot="1" x14ac:dyDescent="0.3">
      <c r="A30" s="39"/>
      <c r="B30" s="58" t="s">
        <v>86</v>
      </c>
      <c r="C30" s="39"/>
      <c r="D30" s="39"/>
      <c r="E30" s="39"/>
      <c r="F30" s="39"/>
      <c r="G30" s="57">
        <v>600</v>
      </c>
      <c r="H30" s="56"/>
      <c r="I30" s="55"/>
      <c r="J30" s="39" t="s">
        <v>15</v>
      </c>
      <c r="K30" s="54"/>
      <c r="L30" s="39"/>
      <c r="M30" s="39"/>
      <c r="N30" s="39"/>
      <c r="O30" s="39"/>
      <c r="P30" s="39"/>
      <c r="Q30" s="50" t="s">
        <v>85</v>
      </c>
      <c r="R30" s="50"/>
      <c r="S30" s="50"/>
      <c r="T30" s="50"/>
      <c r="U30" s="39"/>
      <c r="V30" s="39"/>
      <c r="W30" s="39"/>
      <c r="X30" s="39"/>
      <c r="Y30" s="39"/>
      <c r="Z30" s="39"/>
    </row>
    <row r="31" spans="1:29" ht="15" thickBot="1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9" ht="15" thickBot="1" x14ac:dyDescent="0.3">
      <c r="A32" s="39" t="s">
        <v>33</v>
      </c>
      <c r="B32" s="39" t="s">
        <v>84</v>
      </c>
      <c r="C32" s="39"/>
      <c r="D32" s="39"/>
      <c r="E32" s="39"/>
      <c r="F32" s="39"/>
      <c r="G32" s="53" t="s">
        <v>70</v>
      </c>
      <c r="H32" s="52"/>
      <c r="I32" s="52"/>
      <c r="J32" s="52"/>
      <c r="K32" s="52"/>
      <c r="L32" s="52"/>
      <c r="M32" s="52"/>
      <c r="N32" s="51"/>
      <c r="O32" s="39"/>
      <c r="P32" s="39"/>
      <c r="Q32" s="50" t="s">
        <v>83</v>
      </c>
      <c r="R32" s="39"/>
      <c r="S32" s="39"/>
      <c r="T32" s="39"/>
      <c r="U32" s="39"/>
      <c r="V32" s="39"/>
      <c r="W32" s="39"/>
      <c r="X32" s="39"/>
      <c r="Y32" s="39"/>
      <c r="Z32" s="39"/>
    </row>
    <row r="34" spans="1:17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39"/>
      <c r="Q34" s="39"/>
    </row>
    <row r="36" spans="1:17" ht="31.25" customHeight="1" x14ac:dyDescent="0.25">
      <c r="A36" s="39"/>
      <c r="B36" s="41" t="s">
        <v>82</v>
      </c>
      <c r="C36" s="40" t="s">
        <v>81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9"/>
      <c r="P36" s="39"/>
      <c r="Q36" s="48" t="s">
        <v>80</v>
      </c>
    </row>
    <row r="37" spans="1:17" ht="44" customHeight="1" x14ac:dyDescent="0.25">
      <c r="A37" s="39"/>
      <c r="B37" s="41" t="s">
        <v>79</v>
      </c>
      <c r="C37" s="40" t="s">
        <v>78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39"/>
      <c r="P37" s="39"/>
      <c r="Q37" s="39"/>
    </row>
    <row r="38" spans="1:17" x14ac:dyDescent="0.25">
      <c r="A38" s="39"/>
      <c r="B38" s="46"/>
      <c r="C38" s="45" t="s">
        <v>77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39"/>
      <c r="P38" s="39"/>
      <c r="Q38" s="39"/>
    </row>
    <row r="39" spans="1:17" ht="48" customHeight="1" x14ac:dyDescent="0.25">
      <c r="A39" s="39"/>
      <c r="B39" s="44"/>
      <c r="C39" s="40" t="s">
        <v>76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9"/>
      <c r="P39" s="39"/>
      <c r="Q39" s="39"/>
    </row>
    <row r="40" spans="1:17" ht="19.25" customHeight="1" x14ac:dyDescent="0.25">
      <c r="A40" s="39"/>
      <c r="B40" s="41" t="s">
        <v>75</v>
      </c>
      <c r="C40" s="43" t="s">
        <v>74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39"/>
      <c r="P40" s="39"/>
      <c r="Q40" s="39"/>
    </row>
    <row r="41" spans="1:17" ht="27.5" customHeight="1" x14ac:dyDescent="0.25">
      <c r="A41" s="39"/>
      <c r="B41" s="41" t="s">
        <v>73</v>
      </c>
      <c r="C41" s="40" t="s">
        <v>72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39"/>
      <c r="P41" s="39"/>
      <c r="Q41" s="39"/>
    </row>
    <row r="53" spans="2:6" hidden="1" x14ac:dyDescent="0.25">
      <c r="B53" s="39" t="s">
        <v>71</v>
      </c>
      <c r="C53" s="39"/>
      <c r="D53" s="39"/>
      <c r="E53" s="39"/>
      <c r="F53" s="39" t="s">
        <v>70</v>
      </c>
    </row>
    <row r="54" spans="2:6" hidden="1" x14ac:dyDescent="0.25">
      <c r="B54" s="39" t="s">
        <v>11</v>
      </c>
      <c r="C54" s="39"/>
      <c r="D54" s="39"/>
      <c r="E54" s="39"/>
      <c r="F54" s="39" t="s">
        <v>69</v>
      </c>
    </row>
    <row r="55" spans="2:6" hidden="1" x14ac:dyDescent="0.25">
      <c r="B55" s="39"/>
      <c r="C55" s="39"/>
      <c r="D55" s="39"/>
      <c r="E55" s="39"/>
      <c r="F55" s="39"/>
    </row>
    <row r="56" spans="2:6" hidden="1" x14ac:dyDescent="0.25">
      <c r="B56" s="39" t="s">
        <v>68</v>
      </c>
      <c r="C56" s="39"/>
      <c r="D56" s="39"/>
      <c r="E56" s="39"/>
      <c r="F56" s="39"/>
    </row>
    <row r="57" spans="2:6" hidden="1" x14ac:dyDescent="0.25">
      <c r="B57" s="39" t="s">
        <v>67</v>
      </c>
      <c r="C57" s="39"/>
      <c r="D57" s="39"/>
      <c r="E57" s="39"/>
      <c r="F57" s="39" t="s">
        <v>0</v>
      </c>
    </row>
    <row r="58" spans="2:6" x14ac:dyDescent="0.25">
      <c r="B58" s="39"/>
      <c r="C58" s="39"/>
      <c r="D58" s="39"/>
      <c r="E58" s="39"/>
      <c r="F58" s="39"/>
    </row>
    <row r="59" spans="2:6" x14ac:dyDescent="0.25">
      <c r="B59" s="38"/>
      <c r="C59" s="38"/>
      <c r="D59" s="38"/>
      <c r="E59" s="38"/>
      <c r="F59" s="38"/>
    </row>
  </sheetData>
  <sheetProtection formatCells="0"/>
  <mergeCells count="30">
    <mergeCell ref="C26:F26"/>
    <mergeCell ref="J26:O26"/>
    <mergeCell ref="C37:N37"/>
    <mergeCell ref="C38:N38"/>
    <mergeCell ref="C39:N39"/>
    <mergeCell ref="C41:N41"/>
    <mergeCell ref="B27:E27"/>
    <mergeCell ref="G28:I28"/>
    <mergeCell ref="G29:I29"/>
    <mergeCell ref="G30:I30"/>
    <mergeCell ref="G32:N32"/>
    <mergeCell ref="C36:N36"/>
    <mergeCell ref="G12:O12"/>
    <mergeCell ref="G14:O14"/>
    <mergeCell ref="G18:N18"/>
    <mergeCell ref="G20:O20"/>
    <mergeCell ref="I22:N22"/>
    <mergeCell ref="V25:Y25"/>
    <mergeCell ref="C23:F23"/>
    <mergeCell ref="J23:O23"/>
    <mergeCell ref="C24:F24"/>
    <mergeCell ref="I24:N24"/>
    <mergeCell ref="C25:F25"/>
    <mergeCell ref="J25:O25"/>
    <mergeCell ref="G11:O11"/>
    <mergeCell ref="A1:O1"/>
    <mergeCell ref="N2:O2"/>
    <mergeCell ref="N3:O3"/>
    <mergeCell ref="C6:D6"/>
    <mergeCell ref="J6:O6"/>
  </mergeCells>
  <conditionalFormatting sqref="A18:N18 P18:R18">
    <cfRule type="expression" dxfId="44" priority="2">
      <formula>CELL("protect", INDIRECT(ADDRESS(ROW(), COLUMN())))=0</formula>
    </cfRule>
  </conditionalFormatting>
  <conditionalFormatting sqref="A1:R1 A2:N3 P2:R3 A4:P5 Q4:R17 A6:B6 E6:P6 A7:P15 A16:B16 D16:P16 A17:P17 A19:R19 A20:G20 P20:R20 A21:R21 B22:R22 A23:R26 A27:B27 F27:P27 R27:S27 A28:O28 R28:R31 A29:Q31 B32:G32 O32:R32 A33:R36 A37:B37 O37:R37 A38:R1048576">
    <cfRule type="expression" dxfId="43" priority="3">
      <formula>CELL("protect", INDIRECT(ADDRESS(ROW(), COLUMN())))=0</formula>
    </cfRule>
  </conditionalFormatting>
  <conditionalFormatting sqref="C6:D6">
    <cfRule type="expression" dxfId="42" priority="1">
      <formula>CELL("protect",INDIRECT(ADDRESS(ROW(),COLUMN())))=0</formula>
    </cfRule>
  </conditionalFormatting>
  <dataValidations count="3">
    <dataValidation type="list" allowBlank="1" showInputMessage="1" showErrorMessage="1" sqref="G22 G24" xr:uid="{E87905EA-1F81-457E-8229-961757CC7EC2}">
      <formula1>$F$57</formula1>
    </dataValidation>
    <dataValidation type="list" allowBlank="1" showInputMessage="1" showErrorMessage="1" sqref="G32:N32" xr:uid="{E87F5A38-EA9B-4A24-BCC3-57829B6D777B}">
      <formula1>$F$53:$F$54</formula1>
    </dataValidation>
    <dataValidation type="list" allowBlank="1" showInputMessage="1" showErrorMessage="1" sqref="G18" xr:uid="{A92A224A-BF62-484B-8D67-14B09B07B0F3}">
      <formula1>$B$53:$B$54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74" orientation="portrait" r:id="rId1"/>
  <headerFooter>
    <oddFooter xml:space="preserve">&amp;C- Part 2 - C&amp;P -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8F0C-1CC1-5647-AE44-9ADA0324B046}">
  <sheetPr>
    <pageSetUpPr fitToPage="1"/>
  </sheetPr>
  <dimension ref="A1:O72"/>
  <sheetViews>
    <sheetView view="pageBreakPreview" zoomScale="115" zoomScaleNormal="85" zoomScaleSheetLayoutView="115" workbookViewId="0">
      <selection activeCell="G31" sqref="G31:K31"/>
    </sheetView>
  </sheetViews>
  <sheetFormatPr baseColWidth="10" defaultColWidth="8.6640625" defaultRowHeight="13" x14ac:dyDescent="0.15"/>
  <cols>
    <col min="1" max="1" width="2.33203125" style="1" customWidth="1"/>
    <col min="2" max="3" width="8.6640625" style="1"/>
    <col min="4" max="4" width="19.5" style="1" customWidth="1"/>
    <col min="5" max="5" width="31.5" style="1" customWidth="1"/>
    <col min="6" max="6" width="1.33203125" style="1" customWidth="1"/>
    <col min="7" max="7" width="2.6640625" style="1" customWidth="1"/>
    <col min="8" max="8" width="1.1640625" style="1" customWidth="1"/>
    <col min="9" max="9" width="8.6640625" style="1"/>
    <col min="10" max="10" width="2.6640625" style="1" customWidth="1"/>
    <col min="11" max="11" width="9.1640625" style="1" customWidth="1"/>
    <col min="12" max="12" width="1.6640625" style="1" customWidth="1"/>
    <col min="13" max="13" width="1.1640625" style="1" customWidth="1"/>
    <col min="14" max="14" width="8.6640625" style="1"/>
    <col min="15" max="15" width="4.1640625" style="1" customWidth="1"/>
    <col min="16" max="16384" width="8.6640625" style="1"/>
  </cols>
  <sheetData>
    <row r="1" spans="1:15" ht="35" customHeight="1" x14ac:dyDescent="0.15">
      <c r="A1" s="36" t="s">
        <v>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.25" customHeight="1" x14ac:dyDescent="0.1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4" t="s">
        <v>63</v>
      </c>
      <c r="M2" s="34"/>
      <c r="N2" s="34"/>
      <c r="O2" s="34"/>
    </row>
    <row r="3" spans="1:15" x14ac:dyDescent="0.1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4" t="s">
        <v>62</v>
      </c>
      <c r="O3" s="34"/>
    </row>
    <row r="4" spans="1:15" ht="8" customHeight="1" x14ac:dyDescent="0.15"/>
    <row r="5" spans="1:15" ht="15" thickBot="1" x14ac:dyDescent="0.2">
      <c r="A5" s="29" t="s">
        <v>61</v>
      </c>
      <c r="G5" s="4"/>
      <c r="M5" s="33"/>
      <c r="N5" s="33"/>
      <c r="O5" s="33"/>
    </row>
    <row r="6" spans="1:15" ht="15" thickBot="1" x14ac:dyDescent="0.2">
      <c r="A6" s="29" t="s">
        <v>60</v>
      </c>
      <c r="E6" s="11" t="s">
        <v>59</v>
      </c>
      <c r="G6" s="29" t="s">
        <v>58</v>
      </c>
      <c r="K6" s="32" t="s">
        <v>57</v>
      </c>
      <c r="L6" s="31"/>
      <c r="M6" s="31"/>
      <c r="N6" s="31"/>
      <c r="O6" s="30"/>
    </row>
    <row r="7" spans="1:15" ht="15" thickBot="1" x14ac:dyDescent="0.2">
      <c r="A7" s="29" t="s">
        <v>56</v>
      </c>
      <c r="C7" s="22" t="s">
        <v>55</v>
      </c>
      <c r="D7" s="20"/>
      <c r="G7" s="29" t="s">
        <v>54</v>
      </c>
      <c r="J7" s="22" t="s">
        <v>53</v>
      </c>
      <c r="K7" s="21"/>
      <c r="L7" s="21"/>
      <c r="M7" s="21"/>
      <c r="N7" s="21"/>
      <c r="O7" s="20"/>
    </row>
    <row r="10" spans="1:15" ht="16" x14ac:dyDescent="0.2">
      <c r="A10" s="13" t="s">
        <v>52</v>
      </c>
      <c r="B10" s="13" t="s">
        <v>51</v>
      </c>
      <c r="C10" s="13"/>
      <c r="D10" s="13"/>
      <c r="E10" s="13"/>
    </row>
    <row r="11" spans="1:15" ht="17" thickBot="1" x14ac:dyDescent="0.25">
      <c r="A11" s="13"/>
      <c r="B11" s="14" t="s">
        <v>50</v>
      </c>
      <c r="C11" s="13"/>
      <c r="D11" s="13"/>
      <c r="E11" s="13"/>
    </row>
    <row r="12" spans="1:15" ht="15" customHeight="1" thickBot="1" x14ac:dyDescent="0.25">
      <c r="A12" s="13"/>
      <c r="B12" s="14"/>
      <c r="C12" s="14" t="s">
        <v>49</v>
      </c>
      <c r="D12" s="13"/>
      <c r="E12" s="13"/>
      <c r="G12" s="22" t="s">
        <v>48</v>
      </c>
      <c r="H12" s="21"/>
      <c r="I12" s="21"/>
      <c r="J12" s="21"/>
      <c r="K12" s="21"/>
      <c r="L12" s="21"/>
      <c r="M12" s="21"/>
      <c r="N12" s="21"/>
      <c r="O12" s="20"/>
    </row>
    <row r="13" spans="1:15" ht="17" thickBot="1" x14ac:dyDescent="0.25">
      <c r="A13" s="13"/>
      <c r="B13" s="14"/>
      <c r="C13" s="14" t="s">
        <v>47</v>
      </c>
      <c r="D13" s="13"/>
      <c r="E13" s="13"/>
      <c r="G13" s="22" t="s">
        <v>66</v>
      </c>
      <c r="H13" s="21"/>
      <c r="I13" s="21"/>
      <c r="J13" s="21"/>
      <c r="K13" s="21"/>
      <c r="L13" s="21"/>
      <c r="M13" s="21"/>
      <c r="N13" s="21"/>
      <c r="O13" s="20"/>
    </row>
    <row r="14" spans="1:15" ht="6" customHeight="1" thickBot="1" x14ac:dyDescent="0.25">
      <c r="A14" s="13"/>
      <c r="B14" s="14"/>
      <c r="C14" s="13"/>
      <c r="D14" s="13"/>
      <c r="E14" s="13"/>
      <c r="G14" s="9"/>
      <c r="H14" s="9"/>
      <c r="I14" s="9"/>
      <c r="J14" s="9"/>
      <c r="K14" s="9"/>
      <c r="L14" s="9"/>
      <c r="M14" s="9"/>
      <c r="N14" s="9"/>
    </row>
    <row r="15" spans="1:15" ht="17" thickBot="1" x14ac:dyDescent="0.25">
      <c r="A15" s="13" t="s">
        <v>45</v>
      </c>
      <c r="B15" s="13" t="s">
        <v>44</v>
      </c>
      <c r="C15" s="13"/>
      <c r="D15" s="13"/>
      <c r="E15" s="28"/>
      <c r="G15" s="27" t="s">
        <v>43</v>
      </c>
      <c r="H15" s="26"/>
      <c r="I15" s="26"/>
      <c r="J15" s="26"/>
      <c r="K15" s="26"/>
      <c r="L15" s="26"/>
      <c r="M15" s="26"/>
      <c r="N15" s="26"/>
      <c r="O15" s="25"/>
    </row>
    <row r="16" spans="1:15" ht="7.25" customHeight="1" thickBot="1" x14ac:dyDescent="0.25">
      <c r="A16" s="13"/>
      <c r="B16" s="13"/>
      <c r="C16" s="13"/>
      <c r="D16" s="13"/>
      <c r="E16" s="13"/>
    </row>
    <row r="17" spans="1:15" ht="17.75" customHeight="1" thickBot="1" x14ac:dyDescent="0.25">
      <c r="A17" s="13" t="s">
        <v>42</v>
      </c>
      <c r="B17" s="13" t="s">
        <v>41</v>
      </c>
      <c r="C17" s="13"/>
      <c r="D17" s="13"/>
      <c r="E17" s="13"/>
      <c r="G17" s="19" t="s">
        <v>13</v>
      </c>
      <c r="H17" s="18"/>
      <c r="I17" s="18"/>
      <c r="J17" s="18"/>
      <c r="K17" s="18"/>
      <c r="L17" s="18"/>
      <c r="M17" s="18"/>
      <c r="N17" s="17"/>
    </row>
    <row r="18" spans="1:15" ht="14" customHeight="1" thickBot="1" x14ac:dyDescent="0.25">
      <c r="A18" s="13"/>
      <c r="B18" s="13"/>
      <c r="C18" s="13"/>
      <c r="D18" s="13"/>
      <c r="E18" s="13"/>
      <c r="G18" s="1" t="s">
        <v>23</v>
      </c>
      <c r="I18" s="6"/>
      <c r="J18" s="6"/>
      <c r="K18" s="6"/>
      <c r="L18" s="6"/>
      <c r="M18" s="6"/>
      <c r="N18" s="6"/>
      <c r="O18" s="6"/>
    </row>
    <row r="19" spans="1:15" ht="61.25" customHeight="1" thickBot="1" x14ac:dyDescent="0.25">
      <c r="A19" s="13"/>
      <c r="B19" s="13"/>
      <c r="C19" s="13"/>
      <c r="D19" s="13"/>
      <c r="E19" s="13"/>
      <c r="G19" s="19"/>
      <c r="H19" s="18"/>
      <c r="I19" s="18"/>
      <c r="J19" s="18"/>
      <c r="K19" s="18"/>
      <c r="L19" s="18"/>
      <c r="M19" s="18"/>
      <c r="N19" s="18"/>
      <c r="O19" s="17"/>
    </row>
    <row r="20" spans="1:15" ht="6" customHeight="1" thickBot="1" x14ac:dyDescent="0.25">
      <c r="A20" s="13"/>
      <c r="B20" s="13"/>
      <c r="C20" s="13"/>
      <c r="D20" s="13"/>
      <c r="E20" s="13"/>
    </row>
    <row r="21" spans="1:15" ht="15" customHeight="1" thickBot="1" x14ac:dyDescent="0.25">
      <c r="A21" s="13" t="s">
        <v>40</v>
      </c>
      <c r="B21" s="13" t="s">
        <v>39</v>
      </c>
      <c r="C21" s="13"/>
      <c r="D21" s="13"/>
      <c r="E21" s="13"/>
      <c r="G21" s="19" t="s">
        <v>65</v>
      </c>
      <c r="H21" s="18"/>
      <c r="I21" s="18"/>
      <c r="J21" s="18"/>
      <c r="K21" s="18"/>
      <c r="L21" s="18"/>
      <c r="M21" s="18"/>
      <c r="N21" s="17"/>
    </row>
    <row r="22" spans="1:15" ht="7.25" customHeight="1" thickBot="1" x14ac:dyDescent="0.25">
      <c r="A22" s="13"/>
      <c r="B22" s="13"/>
      <c r="C22" s="13"/>
      <c r="D22" s="13"/>
      <c r="E22" s="13"/>
      <c r="G22" s="9"/>
      <c r="H22" s="9"/>
      <c r="I22" s="9"/>
      <c r="J22" s="9"/>
      <c r="K22" s="9"/>
      <c r="L22" s="9"/>
      <c r="M22" s="9"/>
      <c r="N22" s="9"/>
    </row>
    <row r="23" spans="1:15" ht="15" customHeight="1" thickBot="1" x14ac:dyDescent="0.25">
      <c r="A23" s="13" t="s">
        <v>37</v>
      </c>
      <c r="B23" s="13" t="s">
        <v>36</v>
      </c>
      <c r="C23" s="13"/>
      <c r="D23" s="13"/>
      <c r="E23" s="13"/>
      <c r="G23" s="19" t="s">
        <v>3</v>
      </c>
      <c r="H23" s="18"/>
      <c r="I23" s="18"/>
      <c r="J23" s="18"/>
      <c r="K23" s="18"/>
      <c r="L23" s="18"/>
      <c r="M23" s="18"/>
      <c r="N23" s="17"/>
      <c r="O23" s="1" t="s">
        <v>28</v>
      </c>
    </row>
    <row r="24" spans="1:15" s="24" customFormat="1" ht="15" customHeight="1" thickBot="1" x14ac:dyDescent="0.25">
      <c r="A24" s="13"/>
      <c r="B24" s="13"/>
      <c r="C24" s="13"/>
      <c r="D24" s="13"/>
      <c r="E24" s="13"/>
      <c r="F24" s="1"/>
      <c r="G24" s="1" t="s">
        <v>23</v>
      </c>
      <c r="H24" s="1"/>
      <c r="I24" s="6"/>
      <c r="J24" s="6"/>
      <c r="K24" s="6"/>
      <c r="L24" s="6"/>
      <c r="M24" s="6"/>
      <c r="N24" s="6"/>
      <c r="O24" s="6"/>
    </row>
    <row r="25" spans="1:15" s="24" customFormat="1" ht="54" customHeight="1" thickBot="1" x14ac:dyDescent="0.25">
      <c r="A25" s="13"/>
      <c r="B25" s="13"/>
      <c r="C25" s="13"/>
      <c r="D25" s="13"/>
      <c r="E25" s="13"/>
      <c r="F25" s="1"/>
      <c r="G25" s="19"/>
      <c r="H25" s="18"/>
      <c r="I25" s="18"/>
      <c r="J25" s="18"/>
      <c r="K25" s="18"/>
      <c r="L25" s="18"/>
      <c r="M25" s="18"/>
      <c r="N25" s="18"/>
      <c r="O25" s="17"/>
    </row>
    <row r="26" spans="1:15" ht="5.75" customHeight="1" thickBot="1" x14ac:dyDescent="0.25">
      <c r="A26" s="13"/>
      <c r="B26" s="13"/>
      <c r="C26" s="13"/>
      <c r="D26" s="13"/>
      <c r="E26" s="13"/>
      <c r="G26" s="9"/>
      <c r="H26" s="9"/>
      <c r="I26" s="9"/>
      <c r="J26" s="9"/>
      <c r="K26" s="9"/>
      <c r="L26" s="9"/>
      <c r="M26" s="9"/>
      <c r="N26" s="9"/>
    </row>
    <row r="27" spans="1:15" ht="15" customHeight="1" thickBot="1" x14ac:dyDescent="0.25">
      <c r="A27" s="13" t="s">
        <v>35</v>
      </c>
      <c r="B27" s="13" t="s">
        <v>34</v>
      </c>
      <c r="C27" s="13"/>
      <c r="D27" s="13"/>
      <c r="E27" s="13"/>
      <c r="G27" s="22">
        <v>150</v>
      </c>
      <c r="H27" s="21"/>
      <c r="I27" s="21"/>
      <c r="J27" s="21"/>
      <c r="K27" s="20"/>
      <c r="L27" s="1" t="s">
        <v>28</v>
      </c>
    </row>
    <row r="28" spans="1:15" ht="7.25" customHeight="1" thickBot="1" x14ac:dyDescent="0.25">
      <c r="A28" s="13"/>
      <c r="B28" s="13"/>
      <c r="C28" s="13"/>
      <c r="D28" s="13"/>
      <c r="E28" s="13"/>
      <c r="G28" s="9"/>
      <c r="H28" s="9"/>
      <c r="I28" s="9"/>
      <c r="J28" s="9"/>
      <c r="K28" s="9"/>
      <c r="L28" s="9"/>
      <c r="M28" s="9"/>
    </row>
    <row r="29" spans="1:15" ht="15" customHeight="1" thickBot="1" x14ac:dyDescent="0.25">
      <c r="A29" s="13" t="s">
        <v>33</v>
      </c>
      <c r="B29" s="13" t="s">
        <v>32</v>
      </c>
      <c r="C29" s="13"/>
      <c r="D29" s="13"/>
      <c r="E29" s="13"/>
      <c r="G29" s="22">
        <v>65</v>
      </c>
      <c r="H29" s="21"/>
      <c r="I29" s="20"/>
      <c r="J29" s="9" t="s">
        <v>28</v>
      </c>
      <c r="K29" s="23">
        <v>1</v>
      </c>
      <c r="L29" s="6" t="s">
        <v>31</v>
      </c>
      <c r="M29" s="6"/>
    </row>
    <row r="30" spans="1:15" ht="6" customHeight="1" thickBot="1" x14ac:dyDescent="0.25">
      <c r="A30" s="13"/>
      <c r="B30" s="13"/>
      <c r="C30" s="13"/>
      <c r="D30" s="13"/>
      <c r="E30" s="13"/>
      <c r="G30" s="9"/>
      <c r="H30" s="9"/>
      <c r="I30" s="9"/>
      <c r="J30" s="9"/>
      <c r="K30" s="9"/>
      <c r="L30" s="9"/>
      <c r="M30" s="9"/>
    </row>
    <row r="31" spans="1:15" ht="15" customHeight="1" thickBot="1" x14ac:dyDescent="0.25">
      <c r="A31" s="13" t="s">
        <v>30</v>
      </c>
      <c r="B31" s="13" t="s">
        <v>29</v>
      </c>
      <c r="C31" s="13"/>
      <c r="D31" s="13"/>
      <c r="E31" s="13"/>
      <c r="G31" s="22">
        <v>22</v>
      </c>
      <c r="H31" s="21"/>
      <c r="I31" s="21"/>
      <c r="J31" s="21"/>
      <c r="K31" s="20"/>
      <c r="L31" s="6" t="s">
        <v>28</v>
      </c>
      <c r="M31" s="6"/>
    </row>
    <row r="32" spans="1:15" ht="7.25" customHeight="1" thickBot="1" x14ac:dyDescent="0.25">
      <c r="A32" s="13"/>
      <c r="B32" s="13"/>
      <c r="C32" s="13"/>
      <c r="D32" s="13"/>
      <c r="E32" s="13"/>
      <c r="G32" s="9"/>
      <c r="H32" s="9"/>
      <c r="I32" s="9"/>
      <c r="J32" s="9"/>
      <c r="K32" s="9"/>
      <c r="L32" s="9"/>
      <c r="M32" s="9"/>
      <c r="N32" s="9"/>
    </row>
    <row r="33" spans="1:15" ht="15" customHeight="1" thickBot="1" x14ac:dyDescent="0.25">
      <c r="A33" s="13" t="s">
        <v>27</v>
      </c>
      <c r="B33" s="13" t="s">
        <v>26</v>
      </c>
      <c r="C33" s="13"/>
      <c r="D33" s="13"/>
      <c r="E33" s="13"/>
      <c r="G33" s="19" t="s">
        <v>6</v>
      </c>
      <c r="H33" s="18"/>
      <c r="I33" s="18"/>
      <c r="J33" s="18"/>
      <c r="K33" s="18"/>
      <c r="L33" s="18"/>
      <c r="M33" s="18"/>
      <c r="N33" s="17"/>
    </row>
    <row r="34" spans="1:15" ht="15" customHeight="1" thickBot="1" x14ac:dyDescent="0.25">
      <c r="A34" s="13"/>
      <c r="B34" s="13"/>
      <c r="C34" s="13"/>
      <c r="D34" s="13"/>
      <c r="E34" s="13"/>
      <c r="G34" s="1" t="s">
        <v>23</v>
      </c>
      <c r="I34" s="6"/>
      <c r="J34" s="6"/>
      <c r="K34" s="6"/>
      <c r="L34" s="6"/>
      <c r="M34" s="6"/>
      <c r="N34" s="6"/>
      <c r="O34" s="6"/>
    </row>
    <row r="35" spans="1:15" ht="50.75" customHeight="1" thickBot="1" x14ac:dyDescent="0.25">
      <c r="A35" s="13"/>
      <c r="B35" s="13"/>
      <c r="C35" s="13"/>
      <c r="D35" s="13"/>
      <c r="E35" s="13"/>
      <c r="G35" s="19"/>
      <c r="H35" s="18"/>
      <c r="I35" s="18"/>
      <c r="J35" s="18"/>
      <c r="K35" s="18"/>
      <c r="L35" s="18"/>
      <c r="M35" s="18"/>
      <c r="N35" s="18"/>
      <c r="O35" s="17"/>
    </row>
    <row r="36" spans="1:15" ht="7.25" customHeight="1" thickBot="1" x14ac:dyDescent="0.25">
      <c r="A36" s="13"/>
      <c r="B36" s="13"/>
      <c r="C36" s="13"/>
      <c r="D36" s="13"/>
      <c r="E36" s="13"/>
      <c r="G36" s="9"/>
      <c r="H36" s="9"/>
      <c r="I36" s="9"/>
      <c r="J36" s="9"/>
      <c r="K36" s="9"/>
      <c r="L36" s="9"/>
      <c r="M36" s="9"/>
      <c r="N36" s="9"/>
    </row>
    <row r="37" spans="1:15" ht="15" customHeight="1" thickBot="1" x14ac:dyDescent="0.25">
      <c r="A37" s="13" t="s">
        <v>25</v>
      </c>
      <c r="B37" s="13" t="s">
        <v>24</v>
      </c>
      <c r="C37" s="13"/>
      <c r="D37" s="13"/>
      <c r="E37" s="13"/>
      <c r="G37" s="19" t="s">
        <v>10</v>
      </c>
      <c r="H37" s="18"/>
      <c r="I37" s="18"/>
      <c r="J37" s="18"/>
      <c r="K37" s="18"/>
      <c r="L37" s="18"/>
      <c r="M37" s="18"/>
      <c r="N37" s="17"/>
    </row>
    <row r="38" spans="1:15" ht="15" customHeight="1" thickBot="1" x14ac:dyDescent="0.25">
      <c r="A38" s="13"/>
      <c r="B38" s="13"/>
      <c r="C38" s="13"/>
      <c r="D38" s="13"/>
      <c r="E38" s="13"/>
      <c r="G38" s="1" t="s">
        <v>23</v>
      </c>
      <c r="I38" s="6"/>
      <c r="J38" s="6"/>
      <c r="K38" s="6"/>
      <c r="L38" s="6"/>
      <c r="M38" s="6"/>
      <c r="N38" s="6"/>
      <c r="O38" s="6"/>
    </row>
    <row r="39" spans="1:15" ht="53.75" customHeight="1" thickBot="1" x14ac:dyDescent="0.25">
      <c r="A39" s="13"/>
      <c r="B39" s="13"/>
      <c r="C39" s="13"/>
      <c r="D39" s="13"/>
      <c r="E39" s="13"/>
      <c r="G39" s="19"/>
      <c r="H39" s="18"/>
      <c r="I39" s="18"/>
      <c r="J39" s="18"/>
      <c r="K39" s="18"/>
      <c r="L39" s="18"/>
      <c r="M39" s="18"/>
      <c r="N39" s="18"/>
      <c r="O39" s="17"/>
    </row>
    <row r="40" spans="1:15" ht="15" customHeight="1" thickBot="1" x14ac:dyDescent="0.25">
      <c r="A40" s="13" t="s">
        <v>22</v>
      </c>
      <c r="B40" s="13" t="s">
        <v>21</v>
      </c>
      <c r="C40" s="13"/>
      <c r="D40" s="13"/>
      <c r="E40" s="13"/>
      <c r="G40" s="9"/>
      <c r="H40" s="9"/>
      <c r="I40" s="9"/>
      <c r="J40" s="9"/>
      <c r="K40" s="9"/>
      <c r="L40" s="9"/>
      <c r="M40" s="9"/>
      <c r="N40" s="9"/>
    </row>
    <row r="41" spans="1:15" ht="15" customHeight="1" thickBot="1" x14ac:dyDescent="0.25">
      <c r="A41" s="13"/>
      <c r="B41" s="13"/>
      <c r="C41" s="14" t="s">
        <v>20</v>
      </c>
      <c r="D41" s="13"/>
      <c r="E41" s="16"/>
      <c r="G41" s="1" t="s">
        <v>17</v>
      </c>
      <c r="I41" s="15">
        <v>35</v>
      </c>
      <c r="J41" s="1" t="s">
        <v>19</v>
      </c>
      <c r="K41" s="9"/>
      <c r="L41" s="7" t="s">
        <v>16</v>
      </c>
      <c r="M41" s="9"/>
      <c r="N41" s="15">
        <v>120</v>
      </c>
      <c r="O41" s="1" t="s">
        <v>19</v>
      </c>
    </row>
    <row r="42" spans="1:15" ht="15" customHeight="1" thickBot="1" x14ac:dyDescent="0.25">
      <c r="A42" s="13"/>
      <c r="B42" s="13"/>
      <c r="C42" s="14" t="s">
        <v>18</v>
      </c>
      <c r="D42" s="13"/>
      <c r="E42" s="13"/>
      <c r="G42" s="1" t="s">
        <v>17</v>
      </c>
      <c r="I42" s="12">
        <v>21.3</v>
      </c>
      <c r="J42" s="1" t="s">
        <v>15</v>
      </c>
      <c r="K42" s="9"/>
      <c r="L42" s="7" t="s">
        <v>16</v>
      </c>
      <c r="M42" s="9"/>
      <c r="N42" s="11">
        <v>35</v>
      </c>
      <c r="O42" s="1" t="s">
        <v>15</v>
      </c>
    </row>
    <row r="43" spans="1:15" ht="15" customHeight="1" x14ac:dyDescent="0.15">
      <c r="G43" s="9"/>
      <c r="H43" s="9"/>
      <c r="I43" s="9"/>
      <c r="J43" s="9"/>
      <c r="K43" s="9"/>
      <c r="L43" s="9"/>
      <c r="M43" s="9"/>
      <c r="N43" s="9"/>
    </row>
    <row r="44" spans="1:15" ht="34.5" customHeight="1" x14ac:dyDescent="0.15">
      <c r="B44" s="10" t="s">
        <v>14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5" ht="15" customHeight="1" x14ac:dyDescent="0.15">
      <c r="G45" s="9"/>
      <c r="H45" s="9"/>
      <c r="I45" s="9"/>
      <c r="J45" s="9"/>
      <c r="K45" s="9"/>
      <c r="L45" s="9"/>
      <c r="M45" s="9"/>
      <c r="N45" s="9"/>
    </row>
    <row r="46" spans="1:15" ht="15" customHeight="1" x14ac:dyDescent="0.15">
      <c r="G46" s="9"/>
      <c r="H46" s="9"/>
      <c r="I46" s="9"/>
      <c r="J46" s="9"/>
      <c r="K46" s="9"/>
      <c r="L46" s="9"/>
      <c r="M46" s="9"/>
      <c r="N46" s="9"/>
    </row>
    <row r="47" spans="1:15" x14ac:dyDescent="0.15">
      <c r="H47" s="8"/>
    </row>
    <row r="48" spans="1:15" x14ac:dyDescent="0.15">
      <c r="H48" s="8"/>
      <c r="I48" s="8"/>
      <c r="J48" s="8"/>
      <c r="K48" s="8"/>
      <c r="L48" s="8"/>
      <c r="M48" s="8"/>
      <c r="N48" s="8"/>
    </row>
    <row r="49" spans="2:14" ht="15" customHeight="1" x14ac:dyDescent="0.15">
      <c r="B49" s="6"/>
      <c r="H49" s="7"/>
    </row>
    <row r="50" spans="2:14" x14ac:dyDescent="0.15">
      <c r="B50" s="6"/>
      <c r="H50" s="2"/>
      <c r="J50" s="2"/>
      <c r="K50" s="2"/>
      <c r="L50" s="2"/>
      <c r="M50" s="2"/>
      <c r="N50" s="2"/>
    </row>
    <row r="51" spans="2:14" ht="14.75" customHeight="1" x14ac:dyDescent="0.15">
      <c r="B51" s="6"/>
      <c r="H51" s="2"/>
      <c r="J51" s="2"/>
      <c r="K51" s="2"/>
      <c r="L51" s="2"/>
      <c r="M51" s="2"/>
      <c r="N51" s="2"/>
    </row>
    <row r="52" spans="2:14" ht="14.75" hidden="1" customHeight="1" x14ac:dyDescent="0.15">
      <c r="B52" s="6" t="s">
        <v>13</v>
      </c>
      <c r="H52" s="2"/>
      <c r="J52" s="2"/>
      <c r="K52" s="2"/>
      <c r="L52" s="2"/>
      <c r="M52" s="2"/>
      <c r="N52" s="2"/>
    </row>
    <row r="53" spans="2:14" hidden="1" x14ac:dyDescent="0.15">
      <c r="B53" s="6" t="s">
        <v>1</v>
      </c>
    </row>
    <row r="54" spans="2:14" hidden="1" x14ac:dyDescent="0.15"/>
    <row r="55" spans="2:14" hidden="1" x14ac:dyDescent="0.15">
      <c r="H55" s="7"/>
    </row>
    <row r="56" spans="2:14" hidden="1" x14ac:dyDescent="0.15">
      <c r="B56" s="1" t="s">
        <v>12</v>
      </c>
    </row>
    <row r="57" spans="2:14" hidden="1" x14ac:dyDescent="0.15">
      <c r="B57" s="6" t="s">
        <v>11</v>
      </c>
    </row>
    <row r="58" spans="2:14" hidden="1" x14ac:dyDescent="0.15">
      <c r="B58" s="6"/>
    </row>
    <row r="59" spans="2:14" hidden="1" x14ac:dyDescent="0.15">
      <c r="B59" s="1" t="s">
        <v>10</v>
      </c>
    </row>
    <row r="60" spans="2:14" hidden="1" x14ac:dyDescent="0.15">
      <c r="B60" s="1" t="s">
        <v>9</v>
      </c>
    </row>
    <row r="61" spans="2:14" hidden="1" x14ac:dyDescent="0.15">
      <c r="B61" s="1" t="s">
        <v>8</v>
      </c>
    </row>
    <row r="62" spans="2:14" hidden="1" x14ac:dyDescent="0.15">
      <c r="B62" s="1" t="s">
        <v>1</v>
      </c>
    </row>
    <row r="63" spans="2:14" hidden="1" x14ac:dyDescent="0.15">
      <c r="B63" s="5"/>
    </row>
    <row r="64" spans="2:14" hidden="1" x14ac:dyDescent="0.15">
      <c r="B64" s="5" t="s">
        <v>7</v>
      </c>
    </row>
    <row r="65" spans="2:14" hidden="1" x14ac:dyDescent="0.15">
      <c r="B65" s="5" t="s">
        <v>6</v>
      </c>
    </row>
    <row r="66" spans="2:14" ht="15" hidden="1" customHeight="1" x14ac:dyDescent="0.15">
      <c r="B66" s="1" t="s">
        <v>5</v>
      </c>
      <c r="I66" s="1" t="s">
        <v>4</v>
      </c>
    </row>
    <row r="67" spans="2:14" hidden="1" x14ac:dyDescent="0.15">
      <c r="B67" s="1" t="s">
        <v>1</v>
      </c>
      <c r="I67" s="1" t="s">
        <v>3</v>
      </c>
    </row>
    <row r="68" spans="2:14" hidden="1" x14ac:dyDescent="0.15">
      <c r="I68" s="1" t="s">
        <v>2</v>
      </c>
    </row>
    <row r="69" spans="2:14" hidden="1" x14ac:dyDescent="0.15">
      <c r="I69" s="1" t="s">
        <v>1</v>
      </c>
    </row>
    <row r="70" spans="2:14" hidden="1" x14ac:dyDescent="0.15">
      <c r="B70" s="4" t="s">
        <v>0</v>
      </c>
    </row>
    <row r="71" spans="2:14" ht="48" customHeight="1" x14ac:dyDescent="0.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5" customHeight="1" x14ac:dyDescent="0.15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sheetProtection formatColumns="0" formatRows="0"/>
  <mergeCells count="23">
    <mergeCell ref="G29:I29"/>
    <mergeCell ref="G31:K31"/>
    <mergeCell ref="G33:N33"/>
    <mergeCell ref="G15:O15"/>
    <mergeCell ref="G17:N17"/>
    <mergeCell ref="G19:O19"/>
    <mergeCell ref="B44:N44"/>
    <mergeCell ref="G35:O35"/>
    <mergeCell ref="G37:N37"/>
    <mergeCell ref="G39:O39"/>
    <mergeCell ref="G23:N23"/>
    <mergeCell ref="G25:O25"/>
    <mergeCell ref="G27:K27"/>
    <mergeCell ref="G21:N21"/>
    <mergeCell ref="A1:O1"/>
    <mergeCell ref="L2:O2"/>
    <mergeCell ref="N3:O3"/>
    <mergeCell ref="M5:O5"/>
    <mergeCell ref="K6:O6"/>
    <mergeCell ref="C7:D7"/>
    <mergeCell ref="J7:O7"/>
    <mergeCell ref="G12:O12"/>
    <mergeCell ref="G13:O13"/>
  </mergeCells>
  <conditionalFormatting sqref="A1 P1:XFD3 A2:L2 A3:N3 P23:XFD23 A26:XFD43 A44 O44:XFD44 A45:XFD48 A49:H58 J49:XFD58 A59:XFD59 A60:H63 J60:XFD63">
    <cfRule type="expression" dxfId="41" priority="14">
      <formula>CELL("protect", INDIRECT(ADDRESS(ROW(), COLUMN())))=0</formula>
    </cfRule>
  </conditionalFormatting>
  <conditionalFormatting sqref="A23:N23">
    <cfRule type="expression" dxfId="40" priority="5">
      <formula>CELL("protect", INDIRECT(ADDRESS(ROW(), COLUMN())))=0</formula>
    </cfRule>
  </conditionalFormatting>
  <conditionalFormatting sqref="A4:XFD6 A7:B7 E7:XFD7 A8:XFD22">
    <cfRule type="expression" dxfId="39" priority="3">
      <formula>CELL("protect", INDIRECT(ADDRESS(ROW(), COLUMN())))=0</formula>
    </cfRule>
  </conditionalFormatting>
  <conditionalFormatting sqref="A64:XFD1048576">
    <cfRule type="expression" dxfId="38" priority="6">
      <formula>CELL("protect", INDIRECT(ADDRESS(ROW(), COLUMN())))=0</formula>
    </cfRule>
  </conditionalFormatting>
  <conditionalFormatting sqref="B44">
    <cfRule type="expression" dxfId="37" priority="2">
      <formula>CELL("protect",INDIRECT(ADDRESS(ROW(),COLUMN())))=0</formula>
    </cfRule>
  </conditionalFormatting>
  <conditionalFormatting sqref="C7:D7">
    <cfRule type="expression" dxfId="36" priority="1">
      <formula>CELL("protect",INDIRECT(ADDRESS(ROW(),COLUMN())))=0</formula>
    </cfRule>
  </conditionalFormatting>
  <conditionalFormatting sqref="G17:N17">
    <cfRule type="expression" dxfId="35" priority="12">
      <formula>CELL("protect", INDIRECT(ADDRESS(ROW(), COLUMN())))=0</formula>
    </cfRule>
  </conditionalFormatting>
  <conditionalFormatting sqref="G21:N21">
    <cfRule type="expression" dxfId="34" priority="11">
      <formula>CELL("protect", INDIRECT(ADDRESS(ROW(), COLUMN())))=0</formula>
    </cfRule>
  </conditionalFormatting>
  <conditionalFormatting sqref="G37:N37">
    <cfRule type="expression" dxfId="33" priority="10">
      <formula>CELL("protect", INDIRECT(ADDRESS(ROW(), COLUMN())))=0</formula>
    </cfRule>
  </conditionalFormatting>
  <conditionalFormatting sqref="G18:O19">
    <cfRule type="expression" dxfId="32" priority="13">
      <formula>CELL("protect", INDIRECT(ADDRESS(ROW(), COLUMN())))=0</formula>
    </cfRule>
  </conditionalFormatting>
  <conditionalFormatting sqref="G24:O25">
    <cfRule type="expression" dxfId="31" priority="4">
      <formula>CELL("protect", INDIRECT(ADDRESS(ROW(), COLUMN())))=0</formula>
    </cfRule>
  </conditionalFormatting>
  <conditionalFormatting sqref="G33:O35">
    <cfRule type="expression" dxfId="30" priority="8">
      <formula>CELL("protect", INDIRECT(ADDRESS(ROW(), COLUMN())))=0</formula>
    </cfRule>
  </conditionalFormatting>
  <conditionalFormatting sqref="G38:O39">
    <cfRule type="expression" dxfId="29" priority="9">
      <formula>CELL("protect", INDIRECT(ADDRESS(ROW(), COLUMN())))=0</formula>
    </cfRule>
  </conditionalFormatting>
  <conditionalFormatting sqref="I56:I64">
    <cfRule type="expression" dxfId="28" priority="7">
      <formula>CELL("protect", INDIRECT(ADDRESS(ROW(), COLUMN())))=0</formula>
    </cfRule>
  </conditionalFormatting>
  <dataValidations count="4">
    <dataValidation type="list" allowBlank="1" showInputMessage="1" showErrorMessage="1" sqref="G17:N17" xr:uid="{4AA2B6CC-606F-4D10-AC89-C8BA4DFA48C6}">
      <formula1>$B$52:$B$53</formula1>
    </dataValidation>
    <dataValidation type="list" allowBlank="1" showInputMessage="1" showErrorMessage="1" sqref="G37:N37" xr:uid="{0212214D-E8CB-4A61-AE17-16A883777ADC}">
      <formula1>$B$59:$B$62</formula1>
    </dataValidation>
    <dataValidation type="list" allowBlank="1" showInputMessage="1" showErrorMessage="1" sqref="G33:N33" xr:uid="{FE3A7FD8-B710-45B8-9060-C58CFFAD3604}">
      <formula1>$B$64:$B$67</formula1>
    </dataValidation>
    <dataValidation type="list" allowBlank="1" showInputMessage="1" showErrorMessage="1" sqref="G23:N23" xr:uid="{6F01A002-E0E9-4FEA-A9E4-EE632C5ACAFB}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7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9B92-8BDE-D34D-8216-3958B49D2FC5}">
  <sheetPr>
    <pageSetUpPr fitToPage="1"/>
  </sheetPr>
  <dimension ref="A1:O72"/>
  <sheetViews>
    <sheetView view="pageBreakPreview" topLeftCell="A5" zoomScale="115" zoomScaleNormal="85" zoomScaleSheetLayoutView="115" workbookViewId="0">
      <selection activeCell="S35" sqref="S35"/>
    </sheetView>
  </sheetViews>
  <sheetFormatPr baseColWidth="10" defaultColWidth="8.6640625" defaultRowHeight="13" x14ac:dyDescent="0.15"/>
  <cols>
    <col min="1" max="1" width="2.33203125" style="1" customWidth="1"/>
    <col min="2" max="3" width="8.6640625" style="1"/>
    <col min="4" max="4" width="19.5" style="1" customWidth="1"/>
    <col min="5" max="5" width="31.5" style="1" customWidth="1"/>
    <col min="6" max="6" width="1.33203125" style="1" customWidth="1"/>
    <col min="7" max="7" width="2.6640625" style="1" customWidth="1"/>
    <col min="8" max="8" width="1.1640625" style="1" customWidth="1"/>
    <col min="9" max="9" width="8.6640625" style="1"/>
    <col min="10" max="10" width="2.6640625" style="1" customWidth="1"/>
    <col min="11" max="11" width="9.1640625" style="1" customWidth="1"/>
    <col min="12" max="12" width="1.6640625" style="1" customWidth="1"/>
    <col min="13" max="13" width="1.1640625" style="1" customWidth="1"/>
    <col min="14" max="14" width="8.6640625" style="1"/>
    <col min="15" max="15" width="4.1640625" style="1" customWidth="1"/>
    <col min="16" max="16384" width="8.6640625" style="1"/>
  </cols>
  <sheetData>
    <row r="1" spans="1:15" ht="35" customHeight="1" x14ac:dyDescent="0.15">
      <c r="A1" s="36" t="s">
        <v>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.25" customHeight="1" x14ac:dyDescent="0.1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4" t="s">
        <v>63</v>
      </c>
      <c r="M2" s="34"/>
      <c r="N2" s="34"/>
      <c r="O2" s="34"/>
    </row>
    <row r="3" spans="1:15" x14ac:dyDescent="0.1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4" t="s">
        <v>62</v>
      </c>
      <c r="O3" s="34"/>
    </row>
    <row r="4" spans="1:15" ht="8" customHeight="1" x14ac:dyDescent="0.15"/>
    <row r="5" spans="1:15" ht="15" thickBot="1" x14ac:dyDescent="0.2">
      <c r="A5" s="29" t="s">
        <v>61</v>
      </c>
      <c r="G5" s="4"/>
      <c r="M5" s="33"/>
      <c r="N5" s="33"/>
      <c r="O5" s="33"/>
    </row>
    <row r="6" spans="1:15" ht="15" thickBot="1" x14ac:dyDescent="0.2">
      <c r="A6" s="29" t="s">
        <v>60</v>
      </c>
      <c r="E6" s="11" t="s">
        <v>59</v>
      </c>
      <c r="G6" s="29" t="s">
        <v>58</v>
      </c>
      <c r="K6" s="32" t="s">
        <v>57</v>
      </c>
      <c r="L6" s="31"/>
      <c r="M6" s="31"/>
      <c r="N6" s="31"/>
      <c r="O6" s="30"/>
    </row>
    <row r="7" spans="1:15" ht="15" thickBot="1" x14ac:dyDescent="0.2">
      <c r="A7" s="29" t="s">
        <v>56</v>
      </c>
      <c r="C7" s="22" t="s">
        <v>55</v>
      </c>
      <c r="D7" s="20"/>
      <c r="G7" s="29" t="s">
        <v>54</v>
      </c>
      <c r="J7" s="22" t="s">
        <v>53</v>
      </c>
      <c r="K7" s="21"/>
      <c r="L7" s="21"/>
      <c r="M7" s="21"/>
      <c r="N7" s="21"/>
      <c r="O7" s="20"/>
    </row>
    <row r="10" spans="1:15" ht="16" x14ac:dyDescent="0.2">
      <c r="A10" s="13" t="s">
        <v>52</v>
      </c>
      <c r="B10" s="13" t="s">
        <v>51</v>
      </c>
      <c r="C10" s="13"/>
      <c r="D10" s="13"/>
      <c r="E10" s="13"/>
    </row>
    <row r="11" spans="1:15" ht="17" thickBot="1" x14ac:dyDescent="0.25">
      <c r="A11" s="13"/>
      <c r="B11" s="14" t="s">
        <v>50</v>
      </c>
      <c r="C11" s="13"/>
      <c r="D11" s="13"/>
      <c r="E11" s="13"/>
    </row>
    <row r="12" spans="1:15" ht="15" customHeight="1" thickBot="1" x14ac:dyDescent="0.25">
      <c r="A12" s="13"/>
      <c r="B12" s="14"/>
      <c r="C12" s="14" t="s">
        <v>49</v>
      </c>
      <c r="D12" s="13"/>
      <c r="E12" s="13"/>
      <c r="G12" s="22" t="s">
        <v>48</v>
      </c>
      <c r="H12" s="21"/>
      <c r="I12" s="21"/>
      <c r="J12" s="21"/>
      <c r="K12" s="21"/>
      <c r="L12" s="21"/>
      <c r="M12" s="21"/>
      <c r="N12" s="21"/>
      <c r="O12" s="20"/>
    </row>
    <row r="13" spans="1:15" ht="17" thickBot="1" x14ac:dyDescent="0.25">
      <c r="A13" s="13"/>
      <c r="B13" s="14"/>
      <c r="C13" s="14" t="s">
        <v>47</v>
      </c>
      <c r="D13" s="13"/>
      <c r="E13" s="13"/>
      <c r="G13" s="22" t="s">
        <v>46</v>
      </c>
      <c r="H13" s="21"/>
      <c r="I13" s="21"/>
      <c r="J13" s="21"/>
      <c r="K13" s="21"/>
      <c r="L13" s="21"/>
      <c r="M13" s="21"/>
      <c r="N13" s="21"/>
      <c r="O13" s="20"/>
    </row>
    <row r="14" spans="1:15" ht="6" customHeight="1" thickBot="1" x14ac:dyDescent="0.25">
      <c r="A14" s="13"/>
      <c r="B14" s="14"/>
      <c r="C14" s="13"/>
      <c r="D14" s="13"/>
      <c r="E14" s="13"/>
      <c r="G14" s="9"/>
      <c r="H14" s="9"/>
      <c r="I14" s="9"/>
      <c r="J14" s="9"/>
      <c r="K14" s="9"/>
      <c r="L14" s="9"/>
      <c r="M14" s="9"/>
      <c r="N14" s="9"/>
    </row>
    <row r="15" spans="1:15" ht="17" thickBot="1" x14ac:dyDescent="0.25">
      <c r="A15" s="13" t="s">
        <v>45</v>
      </c>
      <c r="B15" s="13" t="s">
        <v>44</v>
      </c>
      <c r="C15" s="13"/>
      <c r="D15" s="13"/>
      <c r="E15" s="28"/>
      <c r="G15" s="27" t="s">
        <v>43</v>
      </c>
      <c r="H15" s="26"/>
      <c r="I15" s="26"/>
      <c r="J15" s="26"/>
      <c r="K15" s="26"/>
      <c r="L15" s="26"/>
      <c r="M15" s="26"/>
      <c r="N15" s="26"/>
      <c r="O15" s="25"/>
    </row>
    <row r="16" spans="1:15" ht="7.25" customHeight="1" thickBot="1" x14ac:dyDescent="0.25">
      <c r="A16" s="13"/>
      <c r="B16" s="13"/>
      <c r="C16" s="13"/>
      <c r="D16" s="13"/>
      <c r="E16" s="13"/>
    </row>
    <row r="17" spans="1:15" ht="17.75" customHeight="1" thickBot="1" x14ac:dyDescent="0.25">
      <c r="A17" s="13" t="s">
        <v>42</v>
      </c>
      <c r="B17" s="13" t="s">
        <v>41</v>
      </c>
      <c r="C17" s="13"/>
      <c r="D17" s="13"/>
      <c r="E17" s="13"/>
      <c r="G17" s="19" t="s">
        <v>13</v>
      </c>
      <c r="H17" s="18"/>
      <c r="I17" s="18"/>
      <c r="J17" s="18"/>
      <c r="K17" s="18"/>
      <c r="L17" s="18"/>
      <c r="M17" s="18"/>
      <c r="N17" s="17"/>
    </row>
    <row r="18" spans="1:15" ht="14" customHeight="1" thickBot="1" x14ac:dyDescent="0.25">
      <c r="A18" s="13"/>
      <c r="B18" s="13"/>
      <c r="C18" s="13"/>
      <c r="D18" s="13"/>
      <c r="E18" s="13"/>
      <c r="G18" s="1" t="s">
        <v>23</v>
      </c>
      <c r="I18" s="6"/>
      <c r="J18" s="6"/>
      <c r="K18" s="6"/>
      <c r="L18" s="6"/>
      <c r="M18" s="6"/>
      <c r="N18" s="6"/>
      <c r="O18" s="6"/>
    </row>
    <row r="19" spans="1:15" ht="61.25" customHeight="1" thickBot="1" x14ac:dyDescent="0.25">
      <c r="A19" s="13"/>
      <c r="B19" s="13"/>
      <c r="C19" s="13"/>
      <c r="D19" s="13"/>
      <c r="E19" s="13"/>
      <c r="G19" s="19"/>
      <c r="H19" s="18"/>
      <c r="I19" s="18"/>
      <c r="J19" s="18"/>
      <c r="K19" s="18"/>
      <c r="L19" s="18"/>
      <c r="M19" s="18"/>
      <c r="N19" s="18"/>
      <c r="O19" s="17"/>
    </row>
    <row r="20" spans="1:15" ht="6" customHeight="1" thickBot="1" x14ac:dyDescent="0.25">
      <c r="A20" s="13"/>
      <c r="B20" s="13"/>
      <c r="C20" s="13"/>
      <c r="D20" s="13"/>
      <c r="E20" s="13"/>
    </row>
    <row r="21" spans="1:15" ht="15" customHeight="1" thickBot="1" x14ac:dyDescent="0.25">
      <c r="A21" s="13" t="s">
        <v>40</v>
      </c>
      <c r="B21" s="13" t="s">
        <v>39</v>
      </c>
      <c r="C21" s="13"/>
      <c r="D21" s="13"/>
      <c r="E21" s="13"/>
      <c r="G21" s="19" t="s">
        <v>38</v>
      </c>
      <c r="H21" s="18"/>
      <c r="I21" s="18"/>
      <c r="J21" s="18"/>
      <c r="K21" s="18"/>
      <c r="L21" s="18"/>
      <c r="M21" s="18"/>
      <c r="N21" s="17"/>
    </row>
    <row r="22" spans="1:15" ht="7.25" customHeight="1" thickBot="1" x14ac:dyDescent="0.25">
      <c r="A22" s="13"/>
      <c r="B22" s="13"/>
      <c r="C22" s="13"/>
      <c r="D22" s="13"/>
      <c r="E22" s="13"/>
      <c r="G22" s="9"/>
      <c r="H22" s="9"/>
      <c r="I22" s="9"/>
      <c r="J22" s="9"/>
      <c r="K22" s="9"/>
      <c r="L22" s="9"/>
      <c r="M22" s="9"/>
      <c r="N22" s="9"/>
    </row>
    <row r="23" spans="1:15" ht="15" customHeight="1" thickBot="1" x14ac:dyDescent="0.25">
      <c r="A23" s="13" t="s">
        <v>37</v>
      </c>
      <c r="B23" s="13" t="s">
        <v>36</v>
      </c>
      <c r="C23" s="13"/>
      <c r="D23" s="13"/>
      <c r="E23" s="13"/>
      <c r="G23" s="19" t="s">
        <v>4</v>
      </c>
      <c r="H23" s="18"/>
      <c r="I23" s="18"/>
      <c r="J23" s="18"/>
      <c r="K23" s="18"/>
      <c r="L23" s="18"/>
      <c r="M23" s="18"/>
      <c r="N23" s="17"/>
      <c r="O23" s="1" t="s">
        <v>28</v>
      </c>
    </row>
    <row r="24" spans="1:15" s="24" customFormat="1" ht="15" customHeight="1" thickBot="1" x14ac:dyDescent="0.25">
      <c r="A24" s="13"/>
      <c r="B24" s="13"/>
      <c r="C24" s="13"/>
      <c r="D24" s="13"/>
      <c r="E24" s="13"/>
      <c r="F24" s="1"/>
      <c r="G24" s="1" t="s">
        <v>23</v>
      </c>
      <c r="H24" s="1"/>
      <c r="I24" s="6"/>
      <c r="J24" s="6"/>
      <c r="K24" s="6"/>
      <c r="L24" s="6"/>
      <c r="M24" s="6"/>
      <c r="N24" s="6"/>
      <c r="O24" s="6"/>
    </row>
    <row r="25" spans="1:15" s="24" customFormat="1" ht="54" customHeight="1" thickBot="1" x14ac:dyDescent="0.25">
      <c r="A25" s="13"/>
      <c r="B25" s="13"/>
      <c r="C25" s="13"/>
      <c r="D25" s="13"/>
      <c r="E25" s="13"/>
      <c r="F25" s="1"/>
      <c r="G25" s="19"/>
      <c r="H25" s="18"/>
      <c r="I25" s="18"/>
      <c r="J25" s="18"/>
      <c r="K25" s="18"/>
      <c r="L25" s="18"/>
      <c r="M25" s="18"/>
      <c r="N25" s="18"/>
      <c r="O25" s="17"/>
    </row>
    <row r="26" spans="1:15" ht="5.75" customHeight="1" thickBot="1" x14ac:dyDescent="0.25">
      <c r="A26" s="13"/>
      <c r="B26" s="13"/>
      <c r="C26" s="13"/>
      <c r="D26" s="13"/>
      <c r="E26" s="13"/>
      <c r="G26" s="9"/>
      <c r="H26" s="9"/>
      <c r="I26" s="9"/>
      <c r="J26" s="9"/>
      <c r="K26" s="9"/>
      <c r="L26" s="9"/>
      <c r="M26" s="9"/>
      <c r="N26" s="9"/>
    </row>
    <row r="27" spans="1:15" ht="15" customHeight="1" thickBot="1" x14ac:dyDescent="0.25">
      <c r="A27" s="13" t="s">
        <v>35</v>
      </c>
      <c r="B27" s="13" t="s">
        <v>34</v>
      </c>
      <c r="C27" s="13"/>
      <c r="D27" s="13"/>
      <c r="E27" s="13"/>
      <c r="G27" s="22">
        <v>150</v>
      </c>
      <c r="H27" s="21"/>
      <c r="I27" s="21"/>
      <c r="J27" s="21"/>
      <c r="K27" s="20"/>
      <c r="L27" s="1" t="s">
        <v>28</v>
      </c>
    </row>
    <row r="28" spans="1:15" ht="7.25" customHeight="1" thickBot="1" x14ac:dyDescent="0.25">
      <c r="A28" s="13"/>
      <c r="B28" s="13"/>
      <c r="C28" s="13"/>
      <c r="D28" s="13"/>
      <c r="E28" s="13"/>
      <c r="G28" s="9"/>
      <c r="H28" s="9"/>
      <c r="I28" s="9"/>
      <c r="J28" s="9"/>
      <c r="K28" s="9"/>
      <c r="L28" s="9"/>
      <c r="M28" s="9"/>
    </row>
    <row r="29" spans="1:15" ht="15" customHeight="1" thickBot="1" x14ac:dyDescent="0.25">
      <c r="A29" s="13" t="s">
        <v>33</v>
      </c>
      <c r="B29" s="13" t="s">
        <v>32</v>
      </c>
      <c r="C29" s="13"/>
      <c r="D29" s="13"/>
      <c r="E29" s="13"/>
      <c r="G29" s="22">
        <v>65</v>
      </c>
      <c r="H29" s="21"/>
      <c r="I29" s="20"/>
      <c r="J29" s="9" t="s">
        <v>28</v>
      </c>
      <c r="K29" s="23">
        <v>1</v>
      </c>
      <c r="L29" s="6" t="s">
        <v>31</v>
      </c>
      <c r="M29" s="6"/>
    </row>
    <row r="30" spans="1:15" ht="6" customHeight="1" thickBot="1" x14ac:dyDescent="0.25">
      <c r="A30" s="13"/>
      <c r="B30" s="13"/>
      <c r="C30" s="13"/>
      <c r="D30" s="13"/>
      <c r="E30" s="13"/>
      <c r="G30" s="9"/>
      <c r="H30" s="9"/>
      <c r="I30" s="9"/>
      <c r="J30" s="9"/>
      <c r="K30" s="9"/>
      <c r="L30" s="9"/>
      <c r="M30" s="9"/>
    </row>
    <row r="31" spans="1:15" ht="15" customHeight="1" thickBot="1" x14ac:dyDescent="0.25">
      <c r="A31" s="13" t="s">
        <v>30</v>
      </c>
      <c r="B31" s="13" t="s">
        <v>29</v>
      </c>
      <c r="C31" s="13"/>
      <c r="D31" s="13"/>
      <c r="E31" s="13"/>
      <c r="G31" s="22">
        <v>22</v>
      </c>
      <c r="H31" s="21"/>
      <c r="I31" s="21"/>
      <c r="J31" s="21"/>
      <c r="K31" s="20"/>
      <c r="L31" s="6" t="s">
        <v>28</v>
      </c>
      <c r="M31" s="6"/>
    </row>
    <row r="32" spans="1:15" ht="7.25" customHeight="1" thickBot="1" x14ac:dyDescent="0.25">
      <c r="A32" s="13"/>
      <c r="B32" s="13"/>
      <c r="C32" s="13"/>
      <c r="D32" s="13"/>
      <c r="E32" s="13"/>
      <c r="G32" s="9"/>
      <c r="H32" s="9"/>
      <c r="I32" s="9"/>
      <c r="J32" s="9"/>
      <c r="K32" s="9"/>
      <c r="L32" s="9"/>
      <c r="M32" s="9"/>
      <c r="N32" s="9"/>
    </row>
    <row r="33" spans="1:15" ht="15" customHeight="1" thickBot="1" x14ac:dyDescent="0.25">
      <c r="A33" s="13" t="s">
        <v>27</v>
      </c>
      <c r="B33" s="13" t="s">
        <v>26</v>
      </c>
      <c r="C33" s="13"/>
      <c r="D33" s="13"/>
      <c r="E33" s="13"/>
      <c r="G33" s="19" t="s">
        <v>7</v>
      </c>
      <c r="H33" s="18"/>
      <c r="I33" s="18"/>
      <c r="J33" s="18"/>
      <c r="K33" s="18"/>
      <c r="L33" s="18"/>
      <c r="M33" s="18"/>
      <c r="N33" s="17"/>
    </row>
    <row r="34" spans="1:15" ht="15" customHeight="1" thickBot="1" x14ac:dyDescent="0.25">
      <c r="A34" s="13"/>
      <c r="B34" s="13"/>
      <c r="C34" s="13"/>
      <c r="D34" s="13"/>
      <c r="E34" s="13"/>
      <c r="G34" s="1" t="s">
        <v>23</v>
      </c>
      <c r="I34" s="6"/>
      <c r="J34" s="6"/>
      <c r="K34" s="6"/>
      <c r="L34" s="6"/>
      <c r="M34" s="6"/>
      <c r="N34" s="6"/>
      <c r="O34" s="6"/>
    </row>
    <row r="35" spans="1:15" ht="50.75" customHeight="1" thickBot="1" x14ac:dyDescent="0.25">
      <c r="A35" s="13"/>
      <c r="B35" s="13"/>
      <c r="C35" s="13"/>
      <c r="D35" s="13"/>
      <c r="E35" s="13"/>
      <c r="G35" s="19"/>
      <c r="H35" s="18"/>
      <c r="I35" s="18"/>
      <c r="J35" s="18"/>
      <c r="K35" s="18"/>
      <c r="L35" s="18"/>
      <c r="M35" s="18"/>
      <c r="N35" s="18"/>
      <c r="O35" s="17"/>
    </row>
    <row r="36" spans="1:15" ht="7.25" customHeight="1" thickBot="1" x14ac:dyDescent="0.25">
      <c r="A36" s="13"/>
      <c r="B36" s="13"/>
      <c r="C36" s="13"/>
      <c r="D36" s="13"/>
      <c r="E36" s="13"/>
      <c r="G36" s="9"/>
      <c r="H36" s="9"/>
      <c r="I36" s="9"/>
      <c r="J36" s="9"/>
      <c r="K36" s="9"/>
      <c r="L36" s="9"/>
      <c r="M36" s="9"/>
      <c r="N36" s="9"/>
    </row>
    <row r="37" spans="1:15" ht="15" customHeight="1" thickBot="1" x14ac:dyDescent="0.25">
      <c r="A37" s="13" t="s">
        <v>25</v>
      </c>
      <c r="B37" s="13" t="s">
        <v>24</v>
      </c>
      <c r="C37" s="13"/>
      <c r="D37" s="13"/>
      <c r="E37" s="13"/>
      <c r="G37" s="19" t="s">
        <v>10</v>
      </c>
      <c r="H37" s="18"/>
      <c r="I37" s="18"/>
      <c r="J37" s="18"/>
      <c r="K37" s="18"/>
      <c r="L37" s="18"/>
      <c r="M37" s="18"/>
      <c r="N37" s="17"/>
    </row>
    <row r="38" spans="1:15" ht="15" customHeight="1" thickBot="1" x14ac:dyDescent="0.25">
      <c r="A38" s="13"/>
      <c r="B38" s="13"/>
      <c r="C38" s="13"/>
      <c r="D38" s="13"/>
      <c r="E38" s="13"/>
      <c r="G38" s="1" t="s">
        <v>23</v>
      </c>
      <c r="I38" s="6"/>
      <c r="J38" s="6"/>
      <c r="K38" s="6"/>
      <c r="L38" s="6"/>
      <c r="M38" s="6"/>
      <c r="N38" s="6"/>
      <c r="O38" s="6"/>
    </row>
    <row r="39" spans="1:15" ht="53.75" customHeight="1" thickBot="1" x14ac:dyDescent="0.25">
      <c r="A39" s="13"/>
      <c r="B39" s="13"/>
      <c r="C39" s="13"/>
      <c r="D39" s="13"/>
      <c r="E39" s="13"/>
      <c r="G39" s="19"/>
      <c r="H39" s="18"/>
      <c r="I39" s="18"/>
      <c r="J39" s="18"/>
      <c r="K39" s="18"/>
      <c r="L39" s="18"/>
      <c r="M39" s="18"/>
      <c r="N39" s="18"/>
      <c r="O39" s="17"/>
    </row>
    <row r="40" spans="1:15" ht="15" customHeight="1" thickBot="1" x14ac:dyDescent="0.25">
      <c r="A40" s="13" t="s">
        <v>22</v>
      </c>
      <c r="B40" s="13" t="s">
        <v>21</v>
      </c>
      <c r="C40" s="13"/>
      <c r="D40" s="13"/>
      <c r="E40" s="13"/>
      <c r="G40" s="9"/>
      <c r="H40" s="9"/>
      <c r="I40" s="9"/>
      <c r="J40" s="9"/>
      <c r="K40" s="9"/>
      <c r="L40" s="9"/>
      <c r="M40" s="9"/>
      <c r="N40" s="9"/>
    </row>
    <row r="41" spans="1:15" ht="15" customHeight="1" thickBot="1" x14ac:dyDescent="0.25">
      <c r="A41" s="13"/>
      <c r="B41" s="13"/>
      <c r="C41" s="14" t="s">
        <v>20</v>
      </c>
      <c r="D41" s="13"/>
      <c r="E41" s="16"/>
      <c r="G41" s="1" t="s">
        <v>17</v>
      </c>
      <c r="I41" s="15">
        <v>35</v>
      </c>
      <c r="J41" s="1" t="s">
        <v>19</v>
      </c>
      <c r="K41" s="9"/>
      <c r="L41" s="7" t="s">
        <v>16</v>
      </c>
      <c r="M41" s="9"/>
      <c r="N41" s="15">
        <v>120</v>
      </c>
      <c r="O41" s="1" t="s">
        <v>19</v>
      </c>
    </row>
    <row r="42" spans="1:15" ht="15" customHeight="1" thickBot="1" x14ac:dyDescent="0.25">
      <c r="A42" s="13"/>
      <c r="B42" s="13"/>
      <c r="C42" s="14" t="s">
        <v>18</v>
      </c>
      <c r="D42" s="13"/>
      <c r="E42" s="13"/>
      <c r="G42" s="1" t="s">
        <v>17</v>
      </c>
      <c r="I42" s="12">
        <v>21.3</v>
      </c>
      <c r="J42" s="1" t="s">
        <v>15</v>
      </c>
      <c r="K42" s="9"/>
      <c r="L42" s="7" t="s">
        <v>16</v>
      </c>
      <c r="M42" s="9"/>
      <c r="N42" s="11">
        <v>35</v>
      </c>
      <c r="O42" s="1" t="s">
        <v>15</v>
      </c>
    </row>
    <row r="43" spans="1:15" ht="15" customHeight="1" x14ac:dyDescent="0.15">
      <c r="G43" s="9"/>
      <c r="H43" s="9"/>
      <c r="I43" s="9"/>
      <c r="J43" s="9"/>
      <c r="K43" s="9"/>
      <c r="L43" s="9"/>
      <c r="M43" s="9"/>
      <c r="N43" s="9"/>
    </row>
    <row r="44" spans="1:15" ht="34.5" customHeight="1" x14ac:dyDescent="0.15">
      <c r="B44" s="10" t="s">
        <v>14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5" ht="15" customHeight="1" x14ac:dyDescent="0.15">
      <c r="G45" s="9"/>
      <c r="H45" s="9"/>
      <c r="I45" s="9"/>
      <c r="J45" s="9"/>
      <c r="K45" s="9"/>
      <c r="L45" s="9"/>
      <c r="M45" s="9"/>
      <c r="N45" s="9"/>
    </row>
    <row r="46" spans="1:15" ht="15" customHeight="1" x14ac:dyDescent="0.15">
      <c r="G46" s="9"/>
      <c r="H46" s="9"/>
      <c r="I46" s="9"/>
      <c r="J46" s="9"/>
      <c r="K46" s="9"/>
      <c r="L46" s="9"/>
      <c r="M46" s="9"/>
      <c r="N46" s="9"/>
    </row>
    <row r="47" spans="1:15" x14ac:dyDescent="0.15">
      <c r="H47" s="8"/>
    </row>
    <row r="48" spans="1:15" x14ac:dyDescent="0.15">
      <c r="H48" s="8"/>
      <c r="I48" s="8"/>
      <c r="J48" s="8"/>
      <c r="K48" s="8"/>
      <c r="L48" s="8"/>
      <c r="M48" s="8"/>
      <c r="N48" s="8"/>
    </row>
    <row r="49" spans="2:14" ht="15" customHeight="1" x14ac:dyDescent="0.15">
      <c r="B49" s="6"/>
      <c r="H49" s="7"/>
    </row>
    <row r="50" spans="2:14" x14ac:dyDescent="0.15">
      <c r="B50" s="6"/>
      <c r="H50" s="2"/>
      <c r="J50" s="2"/>
      <c r="K50" s="2"/>
      <c r="L50" s="2"/>
      <c r="M50" s="2"/>
      <c r="N50" s="2"/>
    </row>
    <row r="51" spans="2:14" ht="14.75" customHeight="1" x14ac:dyDescent="0.15">
      <c r="B51" s="6"/>
      <c r="H51" s="2"/>
      <c r="J51" s="2"/>
      <c r="K51" s="2"/>
      <c r="L51" s="2"/>
      <c r="M51" s="2"/>
      <c r="N51" s="2"/>
    </row>
    <row r="52" spans="2:14" ht="14.75" hidden="1" customHeight="1" x14ac:dyDescent="0.15">
      <c r="B52" s="6" t="s">
        <v>13</v>
      </c>
      <c r="H52" s="2"/>
      <c r="J52" s="2"/>
      <c r="K52" s="2"/>
      <c r="L52" s="2"/>
      <c r="M52" s="2"/>
      <c r="N52" s="2"/>
    </row>
    <row r="53" spans="2:14" hidden="1" x14ac:dyDescent="0.15">
      <c r="B53" s="6" t="s">
        <v>1</v>
      </c>
    </row>
    <row r="54" spans="2:14" hidden="1" x14ac:dyDescent="0.15"/>
    <row r="55" spans="2:14" hidden="1" x14ac:dyDescent="0.15">
      <c r="H55" s="7"/>
    </row>
    <row r="56" spans="2:14" hidden="1" x14ac:dyDescent="0.15">
      <c r="B56" s="1" t="s">
        <v>12</v>
      </c>
    </row>
    <row r="57" spans="2:14" hidden="1" x14ac:dyDescent="0.15">
      <c r="B57" s="6" t="s">
        <v>11</v>
      </c>
    </row>
    <row r="58" spans="2:14" hidden="1" x14ac:dyDescent="0.15">
      <c r="B58" s="6"/>
    </row>
    <row r="59" spans="2:14" hidden="1" x14ac:dyDescent="0.15">
      <c r="B59" s="1" t="s">
        <v>10</v>
      </c>
    </row>
    <row r="60" spans="2:14" hidden="1" x14ac:dyDescent="0.15">
      <c r="B60" s="1" t="s">
        <v>9</v>
      </c>
    </row>
    <row r="61" spans="2:14" hidden="1" x14ac:dyDescent="0.15">
      <c r="B61" s="1" t="s">
        <v>8</v>
      </c>
    </row>
    <row r="62" spans="2:14" hidden="1" x14ac:dyDescent="0.15">
      <c r="B62" s="1" t="s">
        <v>1</v>
      </c>
    </row>
    <row r="63" spans="2:14" hidden="1" x14ac:dyDescent="0.15">
      <c r="B63" s="5"/>
    </row>
    <row r="64" spans="2:14" hidden="1" x14ac:dyDescent="0.15">
      <c r="B64" s="5" t="s">
        <v>7</v>
      </c>
    </row>
    <row r="65" spans="2:14" hidden="1" x14ac:dyDescent="0.15">
      <c r="B65" s="5" t="s">
        <v>6</v>
      </c>
    </row>
    <row r="66" spans="2:14" ht="15" hidden="1" customHeight="1" x14ac:dyDescent="0.15">
      <c r="B66" s="1" t="s">
        <v>5</v>
      </c>
      <c r="I66" s="1" t="s">
        <v>4</v>
      </c>
    </row>
    <row r="67" spans="2:14" hidden="1" x14ac:dyDescent="0.15">
      <c r="B67" s="1" t="s">
        <v>1</v>
      </c>
      <c r="I67" s="1" t="s">
        <v>3</v>
      </c>
    </row>
    <row r="68" spans="2:14" hidden="1" x14ac:dyDescent="0.15">
      <c r="I68" s="1" t="s">
        <v>2</v>
      </c>
    </row>
    <row r="69" spans="2:14" hidden="1" x14ac:dyDescent="0.15">
      <c r="I69" s="1" t="s">
        <v>1</v>
      </c>
    </row>
    <row r="70" spans="2:14" hidden="1" x14ac:dyDescent="0.15">
      <c r="B70" s="4" t="s">
        <v>0</v>
      </c>
    </row>
    <row r="71" spans="2:14" ht="48" customHeight="1" x14ac:dyDescent="0.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5" customHeight="1" x14ac:dyDescent="0.15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sheetProtection formatColumns="0" formatRows="0"/>
  <mergeCells count="23">
    <mergeCell ref="A1:O1"/>
    <mergeCell ref="L2:O2"/>
    <mergeCell ref="N3:O3"/>
    <mergeCell ref="M5:O5"/>
    <mergeCell ref="K6:O6"/>
    <mergeCell ref="C7:D7"/>
    <mergeCell ref="J7:O7"/>
    <mergeCell ref="G12:O12"/>
    <mergeCell ref="G13:O13"/>
    <mergeCell ref="G15:O15"/>
    <mergeCell ref="G17:N17"/>
    <mergeCell ref="G19:O19"/>
    <mergeCell ref="G21:N21"/>
    <mergeCell ref="G35:O35"/>
    <mergeCell ref="G37:N37"/>
    <mergeCell ref="G39:O39"/>
    <mergeCell ref="B44:N44"/>
    <mergeCell ref="G23:N23"/>
    <mergeCell ref="G25:O25"/>
    <mergeCell ref="G27:K27"/>
    <mergeCell ref="G29:I29"/>
    <mergeCell ref="G31:K31"/>
    <mergeCell ref="G33:N33"/>
  </mergeCells>
  <conditionalFormatting sqref="A1 P1:XFD3 A2:L2 A3:N3 P23:XFD23 A26:XFD43 A44 O44:XFD44 A45:XFD48 A49:H58 J49:XFD58 A59:XFD59 A60:H63 J60:XFD63">
    <cfRule type="expression" dxfId="27" priority="14">
      <formula>CELL("protect", INDIRECT(ADDRESS(ROW(), COLUMN())))=0</formula>
    </cfRule>
  </conditionalFormatting>
  <conditionalFormatting sqref="A23:N23">
    <cfRule type="expression" dxfId="26" priority="5">
      <formula>CELL("protect", INDIRECT(ADDRESS(ROW(), COLUMN())))=0</formula>
    </cfRule>
  </conditionalFormatting>
  <conditionalFormatting sqref="A4:XFD6 A7:B7 E7:XFD7 A8:XFD22">
    <cfRule type="expression" dxfId="25" priority="3">
      <formula>CELL("protect", INDIRECT(ADDRESS(ROW(), COLUMN())))=0</formula>
    </cfRule>
  </conditionalFormatting>
  <conditionalFormatting sqref="A64:XFD1048576">
    <cfRule type="expression" dxfId="24" priority="6">
      <formula>CELL("protect", INDIRECT(ADDRESS(ROW(), COLUMN())))=0</formula>
    </cfRule>
  </conditionalFormatting>
  <conditionalFormatting sqref="B44">
    <cfRule type="expression" dxfId="23" priority="2">
      <formula>CELL("protect",INDIRECT(ADDRESS(ROW(),COLUMN())))=0</formula>
    </cfRule>
  </conditionalFormatting>
  <conditionalFormatting sqref="C7:D7">
    <cfRule type="expression" dxfId="22" priority="1">
      <formula>CELL("protect",INDIRECT(ADDRESS(ROW(),COLUMN())))=0</formula>
    </cfRule>
  </conditionalFormatting>
  <conditionalFormatting sqref="G17:N17">
    <cfRule type="expression" dxfId="21" priority="12">
      <formula>CELL("protect", INDIRECT(ADDRESS(ROW(), COLUMN())))=0</formula>
    </cfRule>
  </conditionalFormatting>
  <conditionalFormatting sqref="G21:N21">
    <cfRule type="expression" dxfId="20" priority="11">
      <formula>CELL("protect", INDIRECT(ADDRESS(ROW(), COLUMN())))=0</formula>
    </cfRule>
  </conditionalFormatting>
  <conditionalFormatting sqref="G37:N37">
    <cfRule type="expression" dxfId="19" priority="10">
      <formula>CELL("protect", INDIRECT(ADDRESS(ROW(), COLUMN())))=0</formula>
    </cfRule>
  </conditionalFormatting>
  <conditionalFormatting sqref="G18:O19">
    <cfRule type="expression" dxfId="18" priority="13">
      <formula>CELL("protect", INDIRECT(ADDRESS(ROW(), COLUMN())))=0</formula>
    </cfRule>
  </conditionalFormatting>
  <conditionalFormatting sqref="G24:O25">
    <cfRule type="expression" dxfId="17" priority="4">
      <formula>CELL("protect", INDIRECT(ADDRESS(ROW(), COLUMN())))=0</formula>
    </cfRule>
  </conditionalFormatting>
  <conditionalFormatting sqref="G33:O35">
    <cfRule type="expression" dxfId="16" priority="8">
      <formula>CELL("protect", INDIRECT(ADDRESS(ROW(), COLUMN())))=0</formula>
    </cfRule>
  </conditionalFormatting>
  <conditionalFormatting sqref="G38:O39">
    <cfRule type="expression" dxfId="15" priority="9">
      <formula>CELL("protect", INDIRECT(ADDRESS(ROW(), COLUMN())))=0</formula>
    </cfRule>
  </conditionalFormatting>
  <conditionalFormatting sqref="I56:I64">
    <cfRule type="expression" dxfId="14" priority="7">
      <formula>CELL("protect", INDIRECT(ADDRESS(ROW(), COLUMN())))=0</formula>
    </cfRule>
  </conditionalFormatting>
  <dataValidations count="4">
    <dataValidation type="list" allowBlank="1" showInputMessage="1" showErrorMessage="1" sqref="G23:N23" xr:uid="{1D9A3C55-A0BE-514A-88A1-EEC41157DCBF}">
      <formula1>$I$66:$I$69</formula1>
    </dataValidation>
    <dataValidation type="list" allowBlank="1" showInputMessage="1" showErrorMessage="1" sqref="G33:N33" xr:uid="{8BA58C1A-E5CE-A348-8481-78E9D7E72A02}">
      <formula1>$B$64:$B$67</formula1>
    </dataValidation>
    <dataValidation type="list" allowBlank="1" showInputMessage="1" showErrorMessage="1" sqref="G37:N37" xr:uid="{144A25E5-81E4-1A40-9298-D966C49B1BA1}">
      <formula1>$B$59:$B$62</formula1>
    </dataValidation>
    <dataValidation type="list" allowBlank="1" showInputMessage="1" showErrorMessage="1" sqref="G17:N17" xr:uid="{03434E46-137C-E740-9002-F39E6FABF8DB}">
      <formula1>$B$52:$B$53</formula1>
    </dataValidation>
  </dataValidations>
  <pageMargins left="0.70866141732283505" right="0.70866141732283505" top="0.74803149606299202" bottom="0.74803149606299202" header="0.31496062992126" footer="0.31496062992126"/>
  <pageSetup paperSize="9"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E489-118A-5F44-9C33-65C23DD36D0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NoeyCleat</vt:lpstr>
      <vt:lpstr>NoeyTerm</vt:lpstr>
      <vt:lpstr>Noey17</vt:lpstr>
      <vt:lpstr>Noey18</vt:lpstr>
      <vt:lpstr>Thailnad</vt:lpstr>
      <vt:lpstr>LV_Turnkey</vt:lpstr>
      <vt:lpstr>XLPE</vt:lpstr>
      <vt:lpstr>cleat 33 kV Trefoil_CMP</vt:lpstr>
      <vt:lpstr>MExico</vt:lpstr>
      <vt:lpstr>China, Ruber, Med pol</vt:lpstr>
      <vt:lpstr>Sheet1</vt:lpstr>
      <vt:lpstr>'China, Ruber, Med pol'!Print_Area</vt:lpstr>
      <vt:lpstr>'cleat 33 kV Trefoil_CMP'!Print_Area</vt:lpstr>
      <vt:lpstr>MExico!Print_Area</vt:lpstr>
      <vt:lpstr>NoeyCleat!Print_Area</vt:lpstr>
      <vt:lpstr>'China, Ruber, Med pol'!Print_Titles</vt:lpstr>
      <vt:lpstr>'cleat 33 kV Trefoil_CMP'!Print_Titles</vt:lpstr>
      <vt:lpstr>MExico!Print_Titles</vt:lpstr>
      <vt:lpstr>NoeyCleat!Print_Titles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Virynradar Phuddee</dc:creator>
  <cp:lastModifiedBy>Virynradar Phuddee</cp:lastModifiedBy>
  <dcterms:created xsi:type="dcterms:W3CDTF">2026-06-23T06:27:45Z</dcterms:created>
  <dcterms:modified xsi:type="dcterms:W3CDTF">2026-06-23T06:29:30Z</dcterms:modified>
</cp:coreProperties>
</file>