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mitlthailand-my.sharepoint.com/personal/66010146_kmitl_ac_th/Documents/Documents/EGAT/PROJECT/qwerty/standard/"/>
    </mc:Choice>
  </mc:AlternateContent>
  <xr:revisionPtr revIDLastSave="0" documentId="8_{80042DE5-5E5A-4AEB-A779-EF33C37D9A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Sel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1" i="1"/>
  <c r="B20" i="1"/>
  <c r="C21" i="1"/>
  <c r="C20" i="1"/>
  <c r="C19" i="1"/>
  <c r="B6" i="1"/>
  <c r="C7" i="1"/>
  <c r="B13" i="1"/>
  <c r="B10" i="1"/>
  <c r="B9" i="1"/>
  <c r="B5" i="1"/>
  <c r="B11" i="1"/>
  <c r="B4" i="1"/>
  <c r="B12" i="1"/>
  <c r="B8" i="1"/>
  <c r="B7" i="1"/>
  <c r="B3" i="1"/>
  <c r="C8" i="1"/>
  <c r="C13" i="1"/>
  <c r="C12" i="1"/>
  <c r="C11" i="1"/>
  <c r="C10" i="1"/>
  <c r="C6" i="1"/>
  <c r="C9" i="1"/>
  <c r="C5" i="1"/>
  <c r="C4" i="1"/>
  <c r="C3" i="1"/>
</calcChain>
</file>

<file path=xl/sharedStrings.xml><?xml version="1.0" encoding="utf-8"?>
<sst xmlns="http://schemas.openxmlformats.org/spreadsheetml/2006/main" count="43" uniqueCount="36">
  <si>
    <t>PRODUCT SELECTION INFORMATION: DIMENSIONS IN INCHES (mm)</t>
  </si>
  <si>
    <t>Description</t>
  </si>
  <si>
    <t>Min/Max Insulation ODs*
(mm)</t>
  </si>
  <si>
    <t>TFT-151E / SG/SLC</t>
  </si>
  <si>
    <t>16 - 28</t>
  </si>
  <si>
    <t>TFT-152E / SG/SLC</t>
  </si>
  <si>
    <t>22 - 37</t>
  </si>
  <si>
    <t>TFT-153E / SG/SLC</t>
  </si>
  <si>
    <t>27 - 43</t>
  </si>
  <si>
    <t>TFT-154E / SG/SLC</t>
  </si>
  <si>
    <t>38 - 56</t>
  </si>
  <si>
    <t>TFT-251E / SG/SLC</t>
  </si>
  <si>
    <t>TFT-252E / SG/SLC</t>
  </si>
  <si>
    <t>TFT-253E / SG/SLC</t>
  </si>
  <si>
    <t>27 - 46</t>
  </si>
  <si>
    <t>TFT-254E / SG/SLC</t>
  </si>
  <si>
    <t>38 - 63</t>
  </si>
  <si>
    <t>TFT-352E / SG/SLC</t>
  </si>
  <si>
    <t>TFT-353E / SG/SLC</t>
  </si>
  <si>
    <t>TFT-354E / SG/SLC</t>
  </si>
  <si>
    <t>*Insulation ODs and nominal conductor sizes are based on 100 and 133% concentric stranded cable dimensions.</t>
  </si>
  <si>
    <t>KITS INCLUDING SHEARBOLTS: DIMENSIONS IN INCHES (mm)</t>
  </si>
  <si>
    <t>Min/Max Insulation ODs
(mm)</t>
  </si>
  <si>
    <t>Connector</t>
  </si>
  <si>
    <t>TFT-353E-T5</t>
  </si>
  <si>
    <t>26 - 38</t>
  </si>
  <si>
    <t>ASBT-2-350</t>
  </si>
  <si>
    <t>TFT-354E-T8</t>
  </si>
  <si>
    <t>35 - 46</t>
  </si>
  <si>
    <t>ASBT-350-750</t>
  </si>
  <si>
    <t>TFT-354E-T9</t>
  </si>
  <si>
    <t>40 - 56</t>
  </si>
  <si>
    <t>ASBT-600-1000</t>
  </si>
  <si>
    <t>Nominal Conductor Size MAX</t>
  </si>
  <si>
    <t>Nominal Conductor Size
MIN</t>
  </si>
  <si>
    <t>Nominal Conductor Size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</si>
</sst>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sz val="9"/>
      <color rgb="FF59595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5C8A"/>
        <bgColor rgb="FF005C8A"/>
      </patternFill>
    </fill>
    <fill>
      <patternFill patternType="solid">
        <fgColor rgb="FFF19828"/>
        <bgColor rgb="FFF19828"/>
      </patternFill>
    </fill>
    <fill>
      <patternFill patternType="solid">
        <fgColor rgb="FFEFEFEF"/>
        <bgColor rgb="FFEFEFE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F7" sqref="F7"/>
    </sheetView>
  </sheetViews>
  <sheetFormatPr defaultRowHeight="14.4" x14ac:dyDescent="0.3"/>
  <cols>
    <col min="1" max="2" width="25" customWidth="1"/>
    <col min="3" max="4" width="22" customWidth="1"/>
    <col min="5" max="5" width="20" customWidth="1"/>
  </cols>
  <sheetData>
    <row r="1" spans="1:5" ht="25.05" customHeight="1" x14ac:dyDescent="0.3">
      <c r="A1" s="7" t="s">
        <v>0</v>
      </c>
      <c r="B1" s="7"/>
      <c r="C1" s="7"/>
      <c r="D1" s="7"/>
    </row>
    <row r="2" spans="1:5" ht="34.950000000000003" customHeight="1" x14ac:dyDescent="0.3">
      <c r="A2" s="1" t="s">
        <v>1</v>
      </c>
      <c r="B2" s="1" t="s">
        <v>34</v>
      </c>
      <c r="C2" s="1" t="s">
        <v>33</v>
      </c>
      <c r="D2" s="1" t="s">
        <v>2</v>
      </c>
      <c r="E2" s="6"/>
    </row>
    <row r="3" spans="1:5" x14ac:dyDescent="0.3">
      <c r="A3" s="2" t="s">
        <v>3</v>
      </c>
      <c r="B3" s="3">
        <f>0.127*(92^((36-2)/39))</f>
        <v>6.543707496202785</v>
      </c>
      <c r="C3" s="3">
        <f>250*0.5067</f>
        <v>126.67500000000001</v>
      </c>
      <c r="D3" s="3" t="s">
        <v>4</v>
      </c>
    </row>
    <row r="4" spans="1:5" x14ac:dyDescent="0.3">
      <c r="A4" s="4" t="s">
        <v>5</v>
      </c>
      <c r="B4" s="5">
        <f>0.127*(92^((36+3)/39))</f>
        <v>11.684000000000001</v>
      </c>
      <c r="C4" s="5">
        <f>500*0.5067</f>
        <v>253.35000000000002</v>
      </c>
      <c r="D4" s="5" t="s">
        <v>6</v>
      </c>
    </row>
    <row r="5" spans="1:5" x14ac:dyDescent="0.3">
      <c r="A5" s="2" t="s">
        <v>7</v>
      </c>
      <c r="B5" s="3">
        <f>500*0.5067</f>
        <v>253.35000000000002</v>
      </c>
      <c r="C5" s="3">
        <f>750*0.5067</f>
        <v>380.02500000000003</v>
      </c>
      <c r="D5" s="3" t="s">
        <v>8</v>
      </c>
    </row>
    <row r="6" spans="1:5" x14ac:dyDescent="0.3">
      <c r="A6" s="4" t="s">
        <v>9</v>
      </c>
      <c r="B6" s="5">
        <f>1000*0.5067</f>
        <v>506.70000000000005</v>
      </c>
      <c r="C6" s="5">
        <f>1250*0.5067</f>
        <v>633.375</v>
      </c>
      <c r="D6" s="5" t="s">
        <v>10</v>
      </c>
    </row>
    <row r="7" spans="1:5" x14ac:dyDescent="0.3">
      <c r="A7" s="2" t="s">
        <v>11</v>
      </c>
      <c r="B7" s="3">
        <f>0.127*(92^((36-1)/39))</f>
        <v>7.3481398321757512</v>
      </c>
      <c r="C7">
        <f>0.127*(92^((36+2)/39))</f>
        <v>10.404902483053986</v>
      </c>
      <c r="D7" s="3" t="s">
        <v>4</v>
      </c>
    </row>
    <row r="8" spans="1:5" x14ac:dyDescent="0.3">
      <c r="A8" s="4" t="s">
        <v>12</v>
      </c>
      <c r="B8" s="5">
        <f>B7</f>
        <v>7.3481398321757512</v>
      </c>
      <c r="C8" s="5">
        <f>C4</f>
        <v>253.35000000000002</v>
      </c>
      <c r="D8" s="5" t="s">
        <v>6</v>
      </c>
    </row>
    <row r="9" spans="1:5" x14ac:dyDescent="0.3">
      <c r="A9" s="2" t="s">
        <v>13</v>
      </c>
      <c r="B9" s="3">
        <f>250*0.5067</f>
        <v>126.67500000000001</v>
      </c>
      <c r="C9" s="3">
        <f>C5</f>
        <v>380.02500000000003</v>
      </c>
      <c r="D9" s="3" t="s">
        <v>14</v>
      </c>
    </row>
    <row r="10" spans="1:5" x14ac:dyDescent="0.3">
      <c r="A10" s="4" t="s">
        <v>15</v>
      </c>
      <c r="B10" s="5">
        <f>750*0.5067</f>
        <v>380.02500000000003</v>
      </c>
      <c r="C10" s="5">
        <f>C6</f>
        <v>633.375</v>
      </c>
      <c r="D10" s="5" t="s">
        <v>16</v>
      </c>
    </row>
    <row r="11" spans="1:5" x14ac:dyDescent="0.3">
      <c r="A11" s="2" t="s">
        <v>17</v>
      </c>
      <c r="B11" s="3">
        <f>0.127*(92^((36+0)/39))</f>
        <v>8.2514628021714653</v>
      </c>
      <c r="C11" s="3">
        <f>C3</f>
        <v>126.67500000000001</v>
      </c>
      <c r="D11" s="3" t="s">
        <v>6</v>
      </c>
    </row>
    <row r="12" spans="1:5" x14ac:dyDescent="0.3">
      <c r="A12" s="4" t="s">
        <v>18</v>
      </c>
      <c r="B12" s="5">
        <f>B4</f>
        <v>11.684000000000001</v>
      </c>
      <c r="C12" s="5">
        <f>C4</f>
        <v>253.35000000000002</v>
      </c>
      <c r="D12" s="5" t="s">
        <v>8</v>
      </c>
    </row>
    <row r="13" spans="1:5" x14ac:dyDescent="0.3">
      <c r="A13" s="2" t="s">
        <v>19</v>
      </c>
      <c r="B13" s="3">
        <f>B5</f>
        <v>253.35000000000002</v>
      </c>
      <c r="C13" s="3">
        <f>C6</f>
        <v>633.375</v>
      </c>
      <c r="D13" s="3" t="s">
        <v>10</v>
      </c>
    </row>
    <row r="14" spans="1:5" x14ac:dyDescent="0.3">
      <c r="A14" s="8" t="s">
        <v>20</v>
      </c>
      <c r="B14" s="9"/>
      <c r="C14" s="9"/>
      <c r="D14" s="9"/>
    </row>
    <row r="17" spans="1:5" ht="25.05" customHeight="1" x14ac:dyDescent="0.3">
      <c r="A17" s="7" t="s">
        <v>21</v>
      </c>
      <c r="B17" s="7"/>
      <c r="C17" s="7"/>
      <c r="D17" s="7"/>
      <c r="E17" s="7"/>
    </row>
    <row r="18" spans="1:5" ht="34.950000000000003" customHeight="1" x14ac:dyDescent="0.3">
      <c r="A18" s="1" t="s">
        <v>1</v>
      </c>
      <c r="B18" s="1" t="s">
        <v>35</v>
      </c>
      <c r="C18" s="1" t="s">
        <v>33</v>
      </c>
      <c r="D18" s="1" t="s">
        <v>22</v>
      </c>
      <c r="E18" s="1" t="s">
        <v>23</v>
      </c>
    </row>
    <row r="19" spans="1:5" x14ac:dyDescent="0.3">
      <c r="A19" s="2" t="s">
        <v>24</v>
      </c>
      <c r="B19" s="3">
        <f>0.127*(92^((36-0)/39))</f>
        <v>8.2514628021714653</v>
      </c>
      <c r="C19" s="3">
        <f>350*0.5067</f>
        <v>177.34500000000003</v>
      </c>
      <c r="D19" s="3" t="s">
        <v>25</v>
      </c>
      <c r="E19" s="3" t="s">
        <v>26</v>
      </c>
    </row>
    <row r="20" spans="1:5" x14ac:dyDescent="0.3">
      <c r="A20" s="4" t="s">
        <v>27</v>
      </c>
      <c r="B20" s="5">
        <f>350*0.5067</f>
        <v>177.34500000000003</v>
      </c>
      <c r="C20" s="5">
        <f>750*0.5067</f>
        <v>380.02500000000003</v>
      </c>
      <c r="D20" s="5" t="s">
        <v>28</v>
      </c>
      <c r="E20" s="5" t="s">
        <v>29</v>
      </c>
    </row>
    <row r="21" spans="1:5" x14ac:dyDescent="0.3">
      <c r="A21" s="2" t="s">
        <v>30</v>
      </c>
      <c r="B21" s="3">
        <f>600*0.5067</f>
        <v>304.02000000000004</v>
      </c>
      <c r="C21" s="3">
        <f>1000*0.5067</f>
        <v>506.70000000000005</v>
      </c>
      <c r="D21" s="3" t="s">
        <v>31</v>
      </c>
      <c r="E21" s="3" t="s">
        <v>32</v>
      </c>
    </row>
  </sheetData>
  <mergeCells count="3">
    <mergeCell ref="A1:D1"/>
    <mergeCell ref="A17:E1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Francis</cp:lastModifiedBy>
  <dcterms:created xsi:type="dcterms:W3CDTF">2026-06-11T04:04:24Z</dcterms:created>
  <dcterms:modified xsi:type="dcterms:W3CDTF">2026-06-12T03:35:12Z</dcterms:modified>
</cp:coreProperties>
</file>